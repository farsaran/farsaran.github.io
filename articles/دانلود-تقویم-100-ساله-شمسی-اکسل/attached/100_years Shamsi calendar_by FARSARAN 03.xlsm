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FARSHID\Desktop\"/>
    </mc:Choice>
  </mc:AlternateContent>
  <bookViews>
    <workbookView xWindow="0" yWindow="0" windowWidth="28740" windowHeight="9765" tabRatio="681"/>
  </bookViews>
  <sheets>
    <sheet name="PersianCalender" sheetId="2" r:id="rId1"/>
    <sheet name="Holiday" sheetId="7" r:id="rId2"/>
    <sheet name="Help" sheetId="6" r:id="rId3"/>
  </sheets>
  <functionGroups builtInGroupCount="18"/>
  <definedNames>
    <definedName name="CalendarYear" localSheetId="1">PersianCalender!$X$3</definedName>
    <definedName name="CalendarYear" localSheetId="0">PersianCalender!$X$3</definedName>
    <definedName name="ShowHoliday">PersianCalender!$A$4</definedName>
  </definedNames>
  <calcPr calcId="152511"/>
</workbook>
</file>

<file path=xl/calcChain.xml><?xml version="1.0" encoding="utf-8"?>
<calcChain xmlns="http://schemas.openxmlformats.org/spreadsheetml/2006/main">
  <c r="H25" i="2" l="1"/>
  <c r="P25" i="2"/>
  <c r="X25" i="2"/>
  <c r="H16" i="2"/>
  <c r="P16" i="2"/>
  <c r="X16" i="2"/>
  <c r="X7" i="2"/>
  <c r="N25" i="2"/>
  <c r="V25" i="2"/>
  <c r="F25" i="2"/>
  <c r="N16" i="2"/>
  <c r="V16" i="2"/>
  <c r="V7" i="2"/>
  <c r="F16" i="2"/>
  <c r="J25" i="2"/>
  <c r="R25" i="2"/>
  <c r="B25" i="2"/>
  <c r="J16" i="2"/>
  <c r="R16" i="2"/>
  <c r="R7" i="2"/>
  <c r="B16" i="2"/>
  <c r="S25" i="2"/>
  <c r="K25" i="2"/>
  <c r="S16" i="2"/>
  <c r="C25" i="2"/>
  <c r="C16" i="2"/>
  <c r="K16" i="2"/>
  <c r="S7" i="2"/>
  <c r="W25" i="2"/>
  <c r="O25" i="2"/>
  <c r="G25" i="2"/>
  <c r="W16" i="2"/>
  <c r="G16" i="2"/>
  <c r="W7" i="2"/>
  <c r="O16" i="2"/>
  <c r="E25" i="2"/>
  <c r="M25" i="2"/>
  <c r="U25" i="2"/>
  <c r="E16" i="2"/>
  <c r="M16" i="2"/>
  <c r="U16" i="2"/>
  <c r="U7" i="2"/>
  <c r="D25" i="2"/>
  <c r="T25" i="2"/>
  <c r="D16" i="2"/>
  <c r="L16" i="2"/>
  <c r="L25" i="2"/>
  <c r="T16" i="2"/>
  <c r="T7" i="2"/>
  <c r="D35" i="2"/>
  <c r="H8" i="2"/>
  <c r="G8" i="2" s="1"/>
  <c r="F8" i="2" s="1"/>
  <c r="E8" i="2" s="1"/>
  <c r="D8" i="2"/>
  <c r="N17" i="2"/>
  <c r="L8" i="2"/>
  <c r="X35" i="2"/>
  <c r="W35" i="2" s="1"/>
  <c r="V35" i="2" s="1"/>
  <c r="U35" i="2" s="1"/>
  <c r="N35" i="2"/>
  <c r="M35" i="2" s="1"/>
  <c r="L35" i="2" s="1"/>
  <c r="K35" i="2" s="1"/>
  <c r="J35" i="2" s="1"/>
  <c r="C35" i="2"/>
  <c r="B35" i="2" s="1"/>
  <c r="E35" i="2"/>
  <c r="M17" i="2"/>
  <c r="O17" i="2"/>
  <c r="K8" i="2"/>
  <c r="J8" i="2" s="1"/>
  <c r="M8" i="2"/>
  <c r="N8" i="2" s="1"/>
  <c r="R36" i="2" l="1"/>
  <c r="M34" i="2"/>
  <c r="E34" i="2"/>
  <c r="U34" i="2"/>
  <c r="W34" i="2"/>
  <c r="G34" i="2"/>
  <c r="O34" i="2"/>
  <c r="T34" i="2"/>
  <c r="D34" i="2"/>
  <c r="L34" i="2"/>
  <c r="V34" i="2"/>
  <c r="F34" i="2"/>
  <c r="N34" i="2"/>
  <c r="S34" i="2"/>
  <c r="K34" i="2"/>
  <c r="C34" i="2"/>
  <c r="J34" i="2"/>
  <c r="R34" i="2"/>
  <c r="B34" i="2"/>
  <c r="X34" i="2"/>
  <c r="H34" i="2"/>
  <c r="P34" i="2"/>
  <c r="B9" i="2"/>
  <c r="C9" i="2" s="1"/>
  <c r="D9" i="2" s="1"/>
  <c r="E9" i="2" s="1"/>
  <c r="F9" i="2" s="1"/>
  <c r="G9" i="2" s="1"/>
  <c r="H9" i="2" s="1"/>
  <c r="B10" i="2" s="1"/>
  <c r="C10" i="2" s="1"/>
  <c r="D10" i="2" s="1"/>
  <c r="E10" i="2" s="1"/>
  <c r="F10" i="2" s="1"/>
  <c r="G10" i="2" s="1"/>
  <c r="H10" i="2" s="1"/>
  <c r="B11" i="2" s="1"/>
  <c r="C11" i="2" s="1"/>
  <c r="D11" i="2" s="1"/>
  <c r="E11" i="2" s="1"/>
  <c r="F11" i="2" s="1"/>
  <c r="G11" i="2" s="1"/>
  <c r="H11" i="2" s="1"/>
  <c r="S36" i="2"/>
  <c r="T36" i="2" s="1"/>
  <c r="U36" i="2" s="1"/>
  <c r="V36" i="2" s="1"/>
  <c r="W36" i="2" s="1"/>
  <c r="X36" i="2" s="1"/>
  <c r="R37" i="2" s="1"/>
  <c r="S37" i="2" s="1"/>
  <c r="T37" i="2" s="1"/>
  <c r="U37" i="2" s="1"/>
  <c r="V37" i="2" s="1"/>
  <c r="W37" i="2" s="1"/>
  <c r="X37" i="2" s="1"/>
  <c r="R38" i="2" s="1"/>
  <c r="S38" i="2" s="1"/>
  <c r="T38" i="2" s="1"/>
  <c r="U38" i="2" s="1"/>
  <c r="V38" i="2" s="1"/>
  <c r="W38" i="2" s="1"/>
  <c r="X38" i="2" s="1"/>
  <c r="O35" i="2"/>
  <c r="W8" i="2"/>
  <c r="F35" i="2"/>
  <c r="P17" i="2"/>
  <c r="O8" i="2"/>
  <c r="C8" i="2"/>
  <c r="E26" i="2"/>
  <c r="D26" i="2" s="1"/>
  <c r="C26" i="2" s="1"/>
  <c r="B26" i="2" s="1"/>
  <c r="O26" i="2"/>
  <c r="N26" i="2" s="1"/>
  <c r="M26" i="2" s="1"/>
  <c r="L26" i="2" s="1"/>
  <c r="K26" i="2" s="1"/>
  <c r="L17" i="2"/>
  <c r="K17" i="2" s="1"/>
  <c r="J17" i="2" s="1"/>
  <c r="T35" i="2"/>
  <c r="B12" i="2"/>
  <c r="R39" i="2"/>
  <c r="V8" i="2"/>
  <c r="U8" i="2" s="1"/>
  <c r="T8" i="2" s="1"/>
  <c r="S8" i="2" s="1"/>
  <c r="X8" i="2"/>
  <c r="R9" i="2" l="1"/>
  <c r="S9" i="2" s="1"/>
  <c r="T9" i="2" s="1"/>
  <c r="U9" i="2" s="1"/>
  <c r="V9" i="2" s="1"/>
  <c r="W9" i="2" s="1"/>
  <c r="X9" i="2" s="1"/>
  <c r="R10" i="2" s="1"/>
  <c r="S10" i="2" s="1"/>
  <c r="T10" i="2" s="1"/>
  <c r="U10" i="2" s="1"/>
  <c r="V10" i="2" s="1"/>
  <c r="W10" i="2" s="1"/>
  <c r="X10" i="2" s="1"/>
  <c r="R11" i="2" s="1"/>
  <c r="S11" i="2" s="1"/>
  <c r="T11" i="2" s="1"/>
  <c r="U11" i="2" s="1"/>
  <c r="V11" i="2" s="1"/>
  <c r="W11" i="2" s="1"/>
  <c r="X11" i="2" s="1"/>
  <c r="J18" i="2"/>
  <c r="K18" i="2" s="1"/>
  <c r="L18" i="2" s="1"/>
  <c r="M18" i="2" s="1"/>
  <c r="N18" i="2" s="1"/>
  <c r="O18" i="2" s="1"/>
  <c r="P18" i="2" s="1"/>
  <c r="J19" i="2" s="1"/>
  <c r="K19" i="2" s="1"/>
  <c r="L19" i="2" s="1"/>
  <c r="M19" i="2" s="1"/>
  <c r="N19" i="2" s="1"/>
  <c r="O19" i="2" s="1"/>
  <c r="P19" i="2" s="1"/>
  <c r="J20" i="2" s="1"/>
  <c r="K20" i="2" s="1"/>
  <c r="L20" i="2" s="1"/>
  <c r="M20" i="2" s="1"/>
  <c r="N20" i="2" s="1"/>
  <c r="O20" i="2" s="1"/>
  <c r="P20" i="2" s="1"/>
  <c r="R12" i="2"/>
  <c r="S35" i="2"/>
  <c r="P8" i="2"/>
  <c r="F26" i="2"/>
  <c r="C12" i="2"/>
  <c r="R8" i="2"/>
  <c r="P26" i="2"/>
  <c r="J26" i="2"/>
  <c r="S12" i="2"/>
  <c r="G35" i="2"/>
  <c r="B8" i="2"/>
  <c r="P35" i="2"/>
  <c r="S39" i="2"/>
  <c r="G26" i="2"/>
  <c r="H26" i="2" s="1"/>
  <c r="J21" i="2"/>
  <c r="J36" i="2" l="1"/>
  <c r="K36" i="2" s="1"/>
  <c r="L36" i="2" s="1"/>
  <c r="M36" i="2" s="1"/>
  <c r="N36" i="2" s="1"/>
  <c r="O36" i="2" s="1"/>
  <c r="P36" i="2" s="1"/>
  <c r="J37" i="2" s="1"/>
  <c r="K37" i="2" s="1"/>
  <c r="L37" i="2" s="1"/>
  <c r="M37" i="2" s="1"/>
  <c r="N37" i="2" s="1"/>
  <c r="O37" i="2" s="1"/>
  <c r="P37" i="2" s="1"/>
  <c r="J38" i="2" s="1"/>
  <c r="K38" i="2" s="1"/>
  <c r="L38" i="2" s="1"/>
  <c r="M38" i="2" s="1"/>
  <c r="N38" i="2" s="1"/>
  <c r="O38" i="2" s="1"/>
  <c r="P38" i="2" s="1"/>
  <c r="J27" i="2"/>
  <c r="K27" i="2" s="1"/>
  <c r="L27" i="2" s="1"/>
  <c r="M27" i="2" s="1"/>
  <c r="N27" i="2" s="1"/>
  <c r="O27" i="2" s="1"/>
  <c r="P27" i="2" s="1"/>
  <c r="J28" i="2" s="1"/>
  <c r="K28" i="2" s="1"/>
  <c r="L28" i="2" s="1"/>
  <c r="M28" i="2" s="1"/>
  <c r="N28" i="2" s="1"/>
  <c r="O28" i="2" s="1"/>
  <c r="P28" i="2" s="1"/>
  <c r="J29" i="2" s="1"/>
  <c r="K29" i="2" s="1"/>
  <c r="L29" i="2" s="1"/>
  <c r="M29" i="2" s="1"/>
  <c r="N29" i="2" s="1"/>
  <c r="O29" i="2" s="1"/>
  <c r="P29" i="2" s="1"/>
  <c r="B27" i="2"/>
  <c r="C27" i="2" s="1"/>
  <c r="D27" i="2" s="1"/>
  <c r="E27" i="2" s="1"/>
  <c r="F27" i="2" s="1"/>
  <c r="G27" i="2" s="1"/>
  <c r="H27" i="2" s="1"/>
  <c r="B28" i="2" s="1"/>
  <c r="C28" i="2" s="1"/>
  <c r="D28" i="2" s="1"/>
  <c r="E28" i="2" s="1"/>
  <c r="F28" i="2" s="1"/>
  <c r="G28" i="2" s="1"/>
  <c r="H28" i="2" s="1"/>
  <c r="B29" i="2" s="1"/>
  <c r="C29" i="2" s="1"/>
  <c r="D29" i="2" s="1"/>
  <c r="E29" i="2" s="1"/>
  <c r="F29" i="2" s="1"/>
  <c r="G29" i="2" s="1"/>
  <c r="H29" i="2" s="1"/>
  <c r="J9" i="2"/>
  <c r="K9" i="2" s="1"/>
  <c r="L9" i="2" s="1"/>
  <c r="M9" i="2" s="1"/>
  <c r="N9" i="2" s="1"/>
  <c r="O9" i="2" s="1"/>
  <c r="P9" i="2" s="1"/>
  <c r="J10" i="2" s="1"/>
  <c r="K10" i="2" s="1"/>
  <c r="L10" i="2" s="1"/>
  <c r="M10" i="2" s="1"/>
  <c r="N10" i="2" s="1"/>
  <c r="O10" i="2" s="1"/>
  <c r="P10" i="2" s="1"/>
  <c r="J11" i="2" s="1"/>
  <c r="K11" i="2" s="1"/>
  <c r="L11" i="2" s="1"/>
  <c r="M11" i="2" s="1"/>
  <c r="N11" i="2" s="1"/>
  <c r="O11" i="2" s="1"/>
  <c r="P11" i="2" s="1"/>
  <c r="K21" i="2"/>
  <c r="J30" i="2"/>
  <c r="B30" i="2"/>
  <c r="T39" i="2"/>
  <c r="H35" i="2"/>
  <c r="R17" i="2"/>
  <c r="S17" i="2" s="1"/>
  <c r="T17" i="2" s="1"/>
  <c r="U17" i="2" s="1"/>
  <c r="J12" i="2"/>
  <c r="J39" i="2"/>
  <c r="T12" i="2"/>
  <c r="D12" i="2"/>
  <c r="R35" i="2"/>
  <c r="B36" i="2" l="1"/>
  <c r="C36" i="2" s="1"/>
  <c r="D36" i="2" s="1"/>
  <c r="E36" i="2" s="1"/>
  <c r="F36" i="2" s="1"/>
  <c r="G36" i="2" s="1"/>
  <c r="H36" i="2" s="1"/>
  <c r="B37" i="2" s="1"/>
  <c r="C37" i="2" s="1"/>
  <c r="D37" i="2" s="1"/>
  <c r="E37" i="2" s="1"/>
  <c r="F37" i="2" s="1"/>
  <c r="G37" i="2" s="1"/>
  <c r="H37" i="2" s="1"/>
  <c r="B38" i="2" s="1"/>
  <c r="C38" i="2" s="1"/>
  <c r="D38" i="2" s="1"/>
  <c r="E38" i="2" s="1"/>
  <c r="F38" i="2" s="1"/>
  <c r="G38" i="2" s="1"/>
  <c r="H38" i="2" s="1"/>
  <c r="E12" i="2"/>
  <c r="K30" i="2"/>
  <c r="U39" i="2"/>
  <c r="U12" i="2"/>
  <c r="B39" i="2"/>
  <c r="K39" i="2"/>
  <c r="K12" i="2"/>
  <c r="C30" i="2"/>
  <c r="L21" i="2"/>
  <c r="M21" i="2"/>
  <c r="L39" i="2"/>
  <c r="L30" i="2"/>
  <c r="F12" i="2"/>
  <c r="D30" i="2"/>
  <c r="C39" i="2"/>
  <c r="V12" i="2"/>
  <c r="L12" i="2"/>
  <c r="V39" i="2"/>
  <c r="W39" i="2"/>
  <c r="W12" i="2"/>
  <c r="M39" i="2"/>
  <c r="D39" i="2"/>
  <c r="M30" i="2"/>
  <c r="E30" i="2"/>
  <c r="M12" i="2"/>
  <c r="G12" i="2"/>
  <c r="N21" i="2"/>
  <c r="O21" i="2"/>
  <c r="N39" i="2"/>
  <c r="X12" i="2"/>
  <c r="H12" i="2"/>
  <c r="N30" i="2"/>
  <c r="N12" i="2"/>
  <c r="E39" i="2"/>
  <c r="X39" i="2"/>
  <c r="F30" i="2"/>
  <c r="O12" i="2"/>
  <c r="R13" i="2"/>
  <c r="O39" i="2"/>
  <c r="G30" i="2"/>
  <c r="R40" i="2"/>
  <c r="O30" i="2"/>
  <c r="F39" i="2"/>
  <c r="B13" i="2"/>
  <c r="P21" i="2"/>
  <c r="J22" i="2"/>
  <c r="S40" i="2"/>
  <c r="P39" i="2"/>
  <c r="P12" i="2"/>
  <c r="C13" i="2"/>
  <c r="S13" i="2"/>
  <c r="G39" i="2"/>
  <c r="P30" i="2"/>
  <c r="H30" i="2"/>
  <c r="B31" i="2"/>
  <c r="J13" i="2"/>
  <c r="T40" i="2"/>
  <c r="J31" i="2"/>
  <c r="T13" i="2"/>
  <c r="J40" i="2"/>
  <c r="K22" i="2"/>
  <c r="H39" i="2"/>
  <c r="D13" i="2"/>
  <c r="E13" i="2"/>
  <c r="U40" i="2"/>
  <c r="B40" i="2"/>
  <c r="K40" i="2"/>
  <c r="K13" i="2"/>
  <c r="L22" i="2"/>
  <c r="U13" i="2"/>
  <c r="K31" i="2"/>
  <c r="C31" i="2"/>
  <c r="D31" i="2"/>
  <c r="M22" i="2"/>
  <c r="V40" i="2"/>
  <c r="L31" i="2"/>
  <c r="L13" i="2"/>
  <c r="L40" i="2"/>
  <c r="V13" i="2"/>
  <c r="C40" i="2"/>
  <c r="F13" i="2"/>
  <c r="G13" i="2"/>
  <c r="W40" i="2"/>
  <c r="N22" i="2"/>
  <c r="D40" i="2"/>
  <c r="W13" i="2"/>
  <c r="M13" i="2"/>
  <c r="M40" i="2"/>
  <c r="M31" i="2"/>
  <c r="E31" i="2"/>
  <c r="F31" i="2"/>
  <c r="X13" i="2"/>
  <c r="O22" i="2"/>
  <c r="X40" i="2"/>
  <c r="N31" i="2"/>
  <c r="N40" i="2"/>
  <c r="N13" i="2"/>
  <c r="E40" i="2"/>
  <c r="H13" i="2"/>
  <c r="F40" i="2"/>
  <c r="G31" i="2"/>
  <c r="O13" i="2"/>
  <c r="P22" i="2"/>
  <c r="O40" i="2"/>
  <c r="O31" i="2"/>
  <c r="P31" i="2"/>
  <c r="G40" i="2"/>
  <c r="P40" i="2"/>
  <c r="P13" i="2"/>
  <c r="H31" i="2"/>
  <c r="H40" i="2"/>
  <c r="C17" i="2"/>
  <c r="D17" i="2"/>
  <c r="E17" i="2"/>
  <c r="F17" i="2"/>
  <c r="G17" i="2"/>
  <c r="H17" i="2"/>
  <c r="B18" i="2"/>
  <c r="C18" i="2"/>
  <c r="D18" i="2"/>
  <c r="E18" i="2"/>
  <c r="F18" i="2"/>
  <c r="G18" i="2"/>
  <c r="H18" i="2"/>
  <c r="B19" i="2"/>
  <c r="C19" i="2"/>
  <c r="D19" i="2"/>
  <c r="E19" i="2"/>
  <c r="F19" i="2"/>
  <c r="G19" i="2"/>
  <c r="H19" i="2"/>
  <c r="B20" i="2"/>
  <c r="C20" i="2"/>
  <c r="D20" i="2"/>
  <c r="E20" i="2"/>
  <c r="F20" i="2"/>
  <c r="G20" i="2"/>
  <c r="H20" i="2"/>
  <c r="B21" i="2"/>
  <c r="C21" i="2"/>
  <c r="D21" i="2"/>
  <c r="E21" i="2"/>
  <c r="F21" i="2"/>
  <c r="G21" i="2"/>
  <c r="H21" i="2"/>
  <c r="B22" i="2"/>
  <c r="C22" i="2"/>
  <c r="D22" i="2"/>
  <c r="E22" i="2"/>
  <c r="F22" i="2"/>
  <c r="G22" i="2"/>
  <c r="H22" i="2"/>
  <c r="R26" i="2"/>
  <c r="S26" i="2"/>
  <c r="T26" i="2"/>
  <c r="U26" i="2"/>
  <c r="V26" i="2"/>
  <c r="W26" i="2"/>
  <c r="X26" i="2"/>
  <c r="R27" i="2"/>
  <c r="S27" i="2"/>
  <c r="T27" i="2"/>
  <c r="U27" i="2"/>
  <c r="V27" i="2"/>
  <c r="W27" i="2"/>
  <c r="X27" i="2"/>
  <c r="R28" i="2"/>
  <c r="S28" i="2"/>
  <c r="T28" i="2"/>
  <c r="U28" i="2"/>
  <c r="V28" i="2"/>
  <c r="W28" i="2"/>
  <c r="X28" i="2"/>
  <c r="R29" i="2"/>
  <c r="S29" i="2"/>
  <c r="T29" i="2"/>
  <c r="U29" i="2"/>
  <c r="V29" i="2"/>
  <c r="W29" i="2"/>
  <c r="X29" i="2"/>
  <c r="R30" i="2"/>
  <c r="S30" i="2"/>
  <c r="T30" i="2"/>
  <c r="U30" i="2"/>
  <c r="V30" i="2"/>
  <c r="W30" i="2"/>
  <c r="X30" i="2"/>
  <c r="R31" i="2"/>
  <c r="S31" i="2"/>
  <c r="T31" i="2"/>
  <c r="U31" i="2"/>
  <c r="V31" i="2"/>
  <c r="W31" i="2"/>
  <c r="X31" i="2"/>
  <c r="V17" i="2"/>
  <c r="W17" i="2"/>
  <c r="X17" i="2"/>
  <c r="R18" i="2"/>
  <c r="S18" i="2"/>
  <c r="T18" i="2"/>
  <c r="U18" i="2"/>
  <c r="V18" i="2"/>
  <c r="W18" i="2"/>
  <c r="X18" i="2"/>
  <c r="R19" i="2"/>
  <c r="S19" i="2"/>
  <c r="T19" i="2"/>
  <c r="U19" i="2"/>
  <c r="V19" i="2"/>
  <c r="W19" i="2"/>
  <c r="X19" i="2"/>
  <c r="R20" i="2"/>
  <c r="S20" i="2"/>
  <c r="T20" i="2"/>
  <c r="U20" i="2"/>
  <c r="V20" i="2"/>
  <c r="W20" i="2"/>
  <c r="X20" i="2"/>
  <c r="R21" i="2"/>
  <c r="S21" i="2"/>
  <c r="T21" i="2"/>
  <c r="U21" i="2"/>
  <c r="V21" i="2"/>
  <c r="W21" i="2"/>
  <c r="X21" i="2"/>
  <c r="R22" i="2"/>
  <c r="S22" i="2"/>
  <c r="T22" i="2"/>
  <c r="U22" i="2"/>
  <c r="V22" i="2"/>
  <c r="W22" i="2"/>
  <c r="X22" i="2"/>
  <c r="B17" i="2"/>
</calcChain>
</file>

<file path=xl/sharedStrings.xml><?xml version="1.0" encoding="utf-8"?>
<sst xmlns="http://schemas.openxmlformats.org/spreadsheetml/2006/main" count="99" uniqueCount="89">
  <si>
    <t>فروردین</t>
  </si>
  <si>
    <t>ش</t>
  </si>
  <si>
    <t>ی</t>
  </si>
  <si>
    <t>د</t>
  </si>
  <si>
    <t>س</t>
  </si>
  <si>
    <t>چ</t>
  </si>
  <si>
    <t>پ</t>
  </si>
  <si>
    <t>ج</t>
  </si>
  <si>
    <t>اردیبهشت</t>
  </si>
  <si>
    <t>خرداد</t>
  </si>
  <si>
    <t>تیر</t>
  </si>
  <si>
    <t>مرداد</t>
  </si>
  <si>
    <t>شهریور</t>
  </si>
  <si>
    <t>مهر</t>
  </si>
  <si>
    <t>آبان</t>
  </si>
  <si>
    <t>آذر</t>
  </si>
  <si>
    <t>دی</t>
  </si>
  <si>
    <t>بهمن</t>
  </si>
  <si>
    <t>اسفند</t>
  </si>
  <si>
    <t>راهنمای فعال سازی ماکرو</t>
  </si>
  <si>
    <r>
      <t xml:space="preserve">برای آنکه بتوانید از توابع این فایل نمونه استفاده نمایید ابتدا باید ماکروها را فعال کنید.
</t>
    </r>
    <r>
      <rPr>
        <sz val="11"/>
        <color rgb="FFFFFF00"/>
        <rFont val="Tahoma"/>
        <family val="2"/>
      </rPr>
      <t>توجه</t>
    </r>
    <r>
      <rPr>
        <sz val="11"/>
        <color theme="0" tint="-0.14999847407452621"/>
        <rFont val="Tahoma"/>
        <family val="2"/>
      </rPr>
      <t xml:space="preserve"> : اینکار باید بلافاصله بعد از باز کردن فایل انجام گردد.</t>
    </r>
  </si>
  <si>
    <t>Excel 2010</t>
  </si>
  <si>
    <t>بعد از باز کردن فایل اگر در پیغام زیر را مشاهده کردید، گزینه Enable را بزنید. این پیغام وقتی نمایش داده می شود که فایل را از روی اینترنت یا ایمیل خود دریافت کرده باشید:</t>
  </si>
  <si>
    <t>سپس پیغام فعال کردن ماکرو نمایش داده می شود که حتما باید آنرا فعال نمایید.</t>
  </si>
  <si>
    <t>Excel 2007</t>
  </si>
  <si>
    <t>بلافاصله بعد از باز کردن فایل گزینه Options را مشاهده می نمایید، روی آن کلیک کنید.</t>
  </si>
  <si>
    <t>در پنجره باز شده گزینه ها را فعال نمایید:</t>
  </si>
  <si>
    <r>
      <t xml:space="preserve">کلیه محاسبات تقویم و تاریخ این فایل با استفاده از «ابزارهای زبان فارسی فرساران در اکسل» انجام شده است.
</t>
    </r>
    <r>
      <rPr>
        <sz val="20"/>
        <color rgb="FFFFFF00"/>
        <rFont val="Tahoma"/>
        <family val="2"/>
      </rPr>
      <t>www.farsaran.com</t>
    </r>
  </si>
  <si>
    <t>www.farsaran.com</t>
  </si>
  <si>
    <t>Site:</t>
  </si>
  <si>
    <t>Email:</t>
  </si>
  <si>
    <t>info@farsaran.com</t>
  </si>
  <si>
    <t>Tel:</t>
  </si>
  <si>
    <t>(021)      8840 77 78</t>
  </si>
  <si>
    <t>آموزش - مشاوره و برنامه نویسی مایکروسافت اکسل</t>
  </si>
  <si>
    <t xml:space="preserve">فـرســاران </t>
  </si>
  <si>
    <t>توجه: این فایل دارای ماکرو است، حتما باید بلافاصله بعد از باز کردن فایل، ماکرو را فعال کنید. برای مشاهده نحوه فعال سازی به شیت Help بروید.</t>
  </si>
  <si>
    <t>Date</t>
  </si>
  <si>
    <t>1392/01/04</t>
  </si>
  <si>
    <t xml:space="preserve">نمـایش تعـطـیلات </t>
  </si>
  <si>
    <t>1392/01/01</t>
  </si>
  <si>
    <t>1392/01/02</t>
  </si>
  <si>
    <t>1392/01/03</t>
  </si>
  <si>
    <t>1392/01/12</t>
  </si>
  <si>
    <t>1392/01/13</t>
  </si>
  <si>
    <t>1392/01/25</t>
  </si>
  <si>
    <t>Description</t>
  </si>
  <si>
    <t>عید نوروز</t>
  </si>
  <si>
    <t>روز جمهوری اسلامی</t>
  </si>
  <si>
    <t>روز طبیعت</t>
  </si>
  <si>
    <t>شهادت حضرت فاطمه زهرا (س)</t>
  </si>
  <si>
    <t>1392/03/03</t>
  </si>
  <si>
    <t>1392/03/14</t>
  </si>
  <si>
    <t>1392/03/15</t>
  </si>
  <si>
    <t>1392/03/17</t>
  </si>
  <si>
    <t>ولادت حضرت امام علی (ع)</t>
  </si>
  <si>
    <t>رحلت حضرت امام خمینی (ره)</t>
  </si>
  <si>
    <t>قیام خونین 15 خرداد</t>
  </si>
  <si>
    <t>مبعث حضرت رسول اکرم (ص)</t>
  </si>
  <si>
    <t>1392/04/03</t>
  </si>
  <si>
    <t>1392/05/08</t>
  </si>
  <si>
    <t>1392/05/18</t>
  </si>
  <si>
    <t>1392/05/19</t>
  </si>
  <si>
    <t>1392/06/11</t>
  </si>
  <si>
    <t>ولادت حضرت قائم (ص)</t>
  </si>
  <si>
    <t>شهارت حضرت علی (ع)</t>
  </si>
  <si>
    <t>عید سعید فطر</t>
  </si>
  <si>
    <t>به مناسبت عید سعید فطر</t>
  </si>
  <si>
    <t>شهادت حضرت امام جعفر صادق (ع)</t>
  </si>
  <si>
    <t>1392/07/24</t>
  </si>
  <si>
    <t>1392/08/02</t>
  </si>
  <si>
    <t>1392/08/22</t>
  </si>
  <si>
    <t>1392/11/22</t>
  </si>
  <si>
    <t>1392/12/29</t>
  </si>
  <si>
    <t>عید سعید قربان</t>
  </si>
  <si>
    <t>عید سعید خم</t>
  </si>
  <si>
    <t>تاسوعای حسینی</t>
  </si>
  <si>
    <t>عاشورای حسینی</t>
  </si>
  <si>
    <t>اربعین حسینی</t>
  </si>
  <si>
    <t>1392/08/23</t>
  </si>
  <si>
    <t>رحلت حضرت رسول اکرم (ص) شهادت اما حسن مجتبی (ع)</t>
  </si>
  <si>
    <t>شهادت حضرت امام رضا (ع)</t>
  </si>
  <si>
    <t>ولادت حضرت رسول اکرم (ص)، ولادت حضرت امام جعفر صادق (ع)</t>
  </si>
  <si>
    <t>پیروزی انقلات اسلامی ایران و سقوط نظام شاهنشاهی</t>
  </si>
  <si>
    <t>روز ملی شدن صنعت نفت ایران</t>
  </si>
  <si>
    <t>1392/10/02</t>
  </si>
  <si>
    <t>1392/10/10</t>
  </si>
  <si>
    <t>1392/10/12</t>
  </si>
  <si>
    <t>1392/10/29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</si>
</sst>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numFmt numFmtId="165" formatCode="mmmm"/>
  </numFmts>
  <fonts count="20" x14ac:knownFonts="1">
    <font>
      <sz val="10"/>
      <color theme="1" tint="0.14996795556505021"/>
      <name val="Microsoft Sans Serif"/>
      <family val="2"/>
      <scheme val="minor"/>
    </font>
    <font>
      <sz val="11"/>
      <color theme="1"/>
      <name val="Microsoft Sans Serif"/>
      <family val="2"/>
      <scheme val="minor"/>
    </font>
    <font>
      <b/>
      <sz val="10"/>
      <color theme="1" tint="0.34998626667073579"/>
      <name val="Microsoft Sans Serif"/>
      <family val="2"/>
      <scheme val="minor"/>
    </font>
    <font>
      <b/>
      <sz val="8"/>
      <color theme="1" tint="0.34998626667073579"/>
      <name val="Microsoft Sans Serif"/>
      <family val="2"/>
      <scheme val="minor"/>
    </font>
    <font>
      <b/>
      <sz val="8"/>
      <color theme="0" tint="-0.34998626667073579"/>
      <name val="Microsoft Sans Serif"/>
      <family val="2"/>
      <scheme val="minor"/>
    </font>
    <font>
      <sz val="10"/>
      <color theme="7"/>
      <name val="Microsoft Sans Serif"/>
      <family val="2"/>
      <scheme val="minor"/>
    </font>
    <font>
      <sz val="18"/>
      <color theme="6"/>
      <name val="Microsoft Sans Serif"/>
      <family val="2"/>
      <scheme val="minor"/>
    </font>
    <font>
      <sz val="91"/>
      <color theme="6"/>
      <name val="Impact"/>
      <family val="2"/>
      <scheme val="major"/>
    </font>
    <font>
      <sz val="10"/>
      <color theme="1" tint="0.499984740745262"/>
      <name val="Microsoft Sans Serif"/>
      <family val="2"/>
      <scheme val="minor"/>
    </font>
    <font>
      <b/>
      <sz val="16"/>
      <color rgb="FF92D050"/>
      <name val="Arial"/>
      <family val="2"/>
    </font>
    <font>
      <sz val="11"/>
      <color theme="0" tint="-0.14999847407452621"/>
      <name val="Tahoma"/>
      <family val="2"/>
    </font>
    <font>
      <b/>
      <sz val="8"/>
      <color theme="0" tint="-0.14999847407452621"/>
      <name val="Arial"/>
      <family val="2"/>
    </font>
    <font>
      <sz val="11"/>
      <color rgb="FFFFFF00"/>
      <name val="Tahoma"/>
      <family val="2"/>
    </font>
    <font>
      <b/>
      <sz val="16"/>
      <color rgb="FF92D050"/>
      <name val="Microsoft Sans Serif"/>
      <family val="2"/>
      <scheme val="minor"/>
    </font>
    <font>
      <sz val="9"/>
      <color rgb="FFFFFF00"/>
      <name val="Tahoma"/>
      <family val="2"/>
    </font>
    <font>
      <sz val="9"/>
      <color theme="0" tint="-0.14999847407452621"/>
      <name val="Tahoma"/>
      <family val="2"/>
    </font>
    <font>
      <sz val="20"/>
      <color rgb="FFFFFF00"/>
      <name val="Tahoma"/>
      <family val="2"/>
    </font>
    <font>
      <sz val="10"/>
      <color theme="0" tint="-0.34998626667073579"/>
      <name val="Microsoft Sans Serif"/>
      <family val="2"/>
      <scheme val="minor"/>
    </font>
    <font>
      <sz val="10"/>
      <color theme="1" tint="0.14999847407452621"/>
      <name val="Microsoft Sans Serif"/>
      <family val="2"/>
      <scheme val="minor"/>
    </font>
    <font>
      <sz val="11"/>
      <color theme="1" tint="0.34998626667073579"/>
      <name val="Microsoft Sans Serif"/>
      <family val="2"/>
      <scheme val="minor"/>
    </font>
  </fonts>
  <fills count="4">
    <fill>
      <patternFill patternType="none"/>
    </fill>
    <fill>
      <patternFill patternType="gray125"/>
    </fill>
    <fill>
      <patternFill patternType="solid">
        <fgColor theme="1" tint="0.249977111117893"/>
        <bgColor auto="1"/>
      </patternFill>
    </fill>
    <fill>
      <patternFill patternType="solid">
        <fgColor theme="1" tint="0.249977111117893"/>
        <bgColor indexed="64"/>
      </patternFill>
    </fill>
  </fills>
  <borders count="1">
    <border>
      <left/>
      <right/>
      <top/>
      <bottom/>
      <diagonal/>
    </border>
  </borders>
  <cellStyleXfs count="8">
    <xf numFmtId="0" fontId="0" fillId="0" borderId="0">
      <alignment vertical="center"/>
    </xf>
    <xf numFmtId="165" fontId="6" fillId="0" borderId="0" applyFill="0" applyBorder="0" applyAlignment="0" applyProtection="0">
      <alignment vertical="center"/>
    </xf>
    <xf numFmtId="0" fontId="5" fillId="0" borderId="0" applyNumberFormat="0" applyFill="0" applyBorder="0" applyProtection="0">
      <alignment horizontal="center" vertical="center"/>
    </xf>
    <xf numFmtId="164" fontId="2" fillId="0" borderId="0" applyFont="0" applyFill="0" applyBorder="0" applyProtection="0">
      <alignment horizontal="center" vertical="center"/>
    </xf>
    <xf numFmtId="0" fontId="7" fillId="0" borderId="0" applyNumberFormat="0" applyFill="0" applyBorder="0" applyAlignment="0" applyProtection="0">
      <alignment vertical="center"/>
    </xf>
    <xf numFmtId="0" fontId="3" fillId="0" borderId="0" applyNumberFormat="0" applyFill="0" applyBorder="0" applyProtection="0">
      <alignment horizontal="right" vertical="center"/>
    </xf>
    <xf numFmtId="164" fontId="4" fillId="0" borderId="0" applyNumberFormat="0" applyFill="0" applyBorder="0" applyProtection="0">
      <alignment horizontal="right" vertical="center"/>
    </xf>
    <xf numFmtId="0" fontId="1" fillId="0" borderId="0"/>
  </cellStyleXfs>
  <cellXfs count="23">
    <xf numFmtId="0" fontId="0" fillId="0" borderId="0" xfId="0">
      <alignment vertical="center"/>
    </xf>
    <xf numFmtId="0" fontId="0" fillId="0" borderId="0" xfId="0" applyFill="1">
      <alignment vertical="center"/>
    </xf>
    <xf numFmtId="164" fontId="0" fillId="0" borderId="0" xfId="3" applyFont="1">
      <alignment horizontal="center" vertical="center"/>
    </xf>
    <xf numFmtId="0" fontId="4" fillId="0" borderId="0" xfId="6" applyNumberFormat="1">
      <alignment horizontal="right" vertical="center"/>
    </xf>
    <xf numFmtId="0" fontId="5" fillId="0" borderId="0" xfId="2" applyFill="1">
      <alignment horizontal="center" vertical="center"/>
    </xf>
    <xf numFmtId="0" fontId="0" fillId="0" borderId="0" xfId="0" applyAlignment="1">
      <alignment horizontal="center" vertical="center"/>
    </xf>
    <xf numFmtId="164" fontId="0" fillId="0" borderId="0" xfId="3" applyNumberFormat="1" applyFont="1">
      <alignment horizontal="center" vertical="center"/>
    </xf>
    <xf numFmtId="0" fontId="8" fillId="0" borderId="0" xfId="0" applyFont="1" applyAlignment="1">
      <alignment horizontal="center" vertical="center"/>
    </xf>
    <xf numFmtId="0" fontId="8" fillId="0" borderId="0" xfId="0" applyFont="1">
      <alignment vertical="center"/>
    </xf>
    <xf numFmtId="0" fontId="1" fillId="3" borderId="0" xfId="7" applyFill="1"/>
    <xf numFmtId="0" fontId="11" fillId="2" borderId="0" xfId="7" applyFont="1" applyFill="1" applyAlignment="1">
      <alignment vertical="center" wrapText="1"/>
    </xf>
    <xf numFmtId="0" fontId="13" fillId="3" borderId="0" xfId="7" applyFont="1" applyFill="1"/>
    <xf numFmtId="0" fontId="17" fillId="0" borderId="0" xfId="0" applyFont="1">
      <alignment vertical="center"/>
    </xf>
    <xf numFmtId="0" fontId="18" fillId="0" borderId="0" xfId="0" applyFont="1">
      <alignment vertical="center"/>
    </xf>
    <xf numFmtId="0" fontId="19" fillId="0" borderId="0" xfId="5" applyNumberFormat="1" applyFont="1" applyAlignment="1">
      <alignment horizontal="right"/>
    </xf>
    <xf numFmtId="165" fontId="6" fillId="0" borderId="0" xfId="1" applyAlignment="1">
      <alignment horizontal="left" vertical="center"/>
    </xf>
    <xf numFmtId="0" fontId="3" fillId="0" borderId="0" xfId="5">
      <alignment horizontal="right" vertical="center"/>
    </xf>
    <xf numFmtId="0" fontId="7" fillId="0" borderId="0" xfId="4" applyAlignment="1">
      <alignment horizontal="center" vertical="center"/>
    </xf>
    <xf numFmtId="0" fontId="10" fillId="2" borderId="0" xfId="7" applyFont="1" applyFill="1" applyAlignment="1">
      <alignment horizontal="right" vertical="top" wrapText="1"/>
    </xf>
    <xf numFmtId="0" fontId="14" fillId="2" borderId="0" xfId="7" applyFont="1" applyFill="1" applyAlignment="1">
      <alignment horizontal="center" vertical="top" wrapText="1"/>
    </xf>
    <xf numFmtId="0" fontId="15" fillId="2" borderId="0" xfId="7" applyFont="1" applyFill="1" applyAlignment="1">
      <alignment horizontal="center" vertical="top" wrapText="1"/>
    </xf>
    <xf numFmtId="0" fontId="9" fillId="2" borderId="0" xfId="7" applyFont="1" applyFill="1" applyAlignment="1">
      <alignment horizontal="center" vertical="center" wrapText="1"/>
    </xf>
    <xf numFmtId="0" fontId="10" fillId="2" borderId="0" xfId="7" applyFont="1" applyFill="1" applyAlignment="1">
      <alignment horizontal="center" vertical="center" wrapText="1"/>
    </xf>
  </cellXfs>
  <cellStyles count="8">
    <cellStyle name="DayHeaders" xfId="2"/>
    <cellStyle name="DayNumbers" xfId="3"/>
    <cellStyle name="DaySelector" xfId="5"/>
    <cellStyle name="InputLabel" xfId="6"/>
    <cellStyle name="MonthTitles" xfId="1"/>
    <cellStyle name="Normal" xfId="0" builtinId="0" customBuiltin="1"/>
    <cellStyle name="Normal 2" xfId="7"/>
    <cellStyle name="Year" xfId="4"/>
  </cellStyles>
  <dxfs count="18">
    <dxf>
      <font>
        <strike val="0"/>
        <outline val="0"/>
        <shadow val="0"/>
        <u val="none"/>
        <vertAlign val="baseline"/>
        <sz val="10"/>
        <color theme="1" tint="0.14999847407452621"/>
        <name val="Microsoft Sans Serif"/>
        <scheme val="minor"/>
      </font>
    </dxf>
    <dxf>
      <font>
        <strike val="0"/>
        <outline val="0"/>
        <shadow val="0"/>
        <u val="none"/>
        <vertAlign val="baseline"/>
        <sz val="10"/>
        <color theme="1" tint="0.14999847407452621"/>
        <name val="Microsoft Sans Serif"/>
        <scheme val="minor"/>
      </font>
    </dxf>
    <dxf>
      <font>
        <strike val="0"/>
        <outline val="0"/>
        <shadow val="0"/>
        <u val="none"/>
        <vertAlign val="baseline"/>
        <sz val="10"/>
        <color theme="1" tint="0.14999847407452621"/>
        <name val="Microsoft Sans Serif"/>
        <scheme val="minor"/>
      </font>
    </dxf>
    <dxf>
      <font>
        <strike val="0"/>
        <outline val="0"/>
        <shadow val="0"/>
        <u val="none"/>
        <vertAlign val="baseline"/>
        <sz val="10"/>
        <color theme="1" tint="0.14999847407452621"/>
        <name val="Microsoft Sans Serif"/>
        <scheme val="minor"/>
      </font>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Spin" dx="16" fmlaLink="CalendarYear" max="1400" min="1300" page="10" val="1393"/>
</file>

<file path=xl/ctrlProps/ctrlProp2.xml><?xml version="1.0" encoding="utf-8"?>
<formControlPr xmlns="http://schemas.microsoft.com/office/spreadsheetml/2009/9/main" objectType="CheckBox" checked="Checked" fmlaLink="$A$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6.png"/><Relationship Id="rId5" Type="http://schemas.openxmlformats.org/officeDocument/2006/relationships/hyperlink" Target="#PersianCalender!A1"/><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28575</xdr:colOff>
          <xdr:row>2</xdr:row>
          <xdr:rowOff>685800</xdr:rowOff>
        </xdr:from>
        <xdr:to>
          <xdr:col>32</xdr:col>
          <xdr:colOff>171450</xdr:colOff>
          <xdr:row>2</xdr:row>
          <xdr:rowOff>914400</xdr:rowOff>
        </xdr:to>
        <xdr:sp macro="" textlink="">
          <xdr:nvSpPr>
            <xdr:cNvPr id="2049" name="Spinner 1" descr="Year Spinner&#10;&#10;Use the spinner to change the calendar year or type your desired year in cell Y3."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0</xdr:colOff>
      <xdr:row>2</xdr:row>
      <xdr:rowOff>28575</xdr:rowOff>
    </xdr:from>
    <xdr:to>
      <xdr:col>23</xdr:col>
      <xdr:colOff>257175</xdr:colOff>
      <xdr:row>2</xdr:row>
      <xdr:rowOff>981075</xdr:rowOff>
    </xdr:to>
    <xdr:grpSp>
      <xdr:nvGrpSpPr>
        <xdr:cNvPr id="3" name="Artwork Header" descr="Collection of brightly colored flowers." title="Template artwork"/>
        <xdr:cNvGrpSpPr>
          <a:grpSpLocks noChangeAspect="1"/>
        </xdr:cNvGrpSpPr>
      </xdr:nvGrpSpPr>
      <xdr:grpSpPr bwMode="auto">
        <a:xfrm>
          <a:off x="241788" y="534133"/>
          <a:ext cx="6543675" cy="952500"/>
          <a:chOff x="25" y="32"/>
          <a:chExt cx="687" cy="100"/>
        </a:xfrm>
      </xdr:grpSpPr>
      <xdr:sp macro="" textlink="">
        <xdr:nvSpPr>
          <xdr:cNvPr id="4" name="Freeform 52"/>
          <xdr:cNvSpPr>
            <a:spLocks/>
          </xdr:cNvSpPr>
        </xdr:nvSpPr>
        <xdr:spPr bwMode="auto">
          <a:xfrm>
            <a:off x="346" y="32"/>
            <a:ext cx="16" cy="16"/>
          </a:xfrm>
          <a:custGeom>
            <a:avLst/>
            <a:gdLst>
              <a:gd name="T0" fmla="*/ 31 w 79"/>
              <a:gd name="T1" fmla="*/ 0 h 79"/>
              <a:gd name="T2" fmla="*/ 48 w 79"/>
              <a:gd name="T3" fmla="*/ 0 h 79"/>
              <a:gd name="T4" fmla="*/ 55 w 79"/>
              <a:gd name="T5" fmla="*/ 2 h 79"/>
              <a:gd name="T6" fmla="*/ 61 w 79"/>
              <a:gd name="T7" fmla="*/ 6 h 79"/>
              <a:gd name="T8" fmla="*/ 69 w 79"/>
              <a:gd name="T9" fmla="*/ 13 h 79"/>
              <a:gd name="T10" fmla="*/ 75 w 79"/>
              <a:gd name="T11" fmla="*/ 21 h 79"/>
              <a:gd name="T12" fmla="*/ 79 w 79"/>
              <a:gd name="T13" fmla="*/ 31 h 79"/>
              <a:gd name="T14" fmla="*/ 79 w 79"/>
              <a:gd name="T15" fmla="*/ 48 h 79"/>
              <a:gd name="T16" fmla="*/ 74 w 79"/>
              <a:gd name="T17" fmla="*/ 63 h 79"/>
              <a:gd name="T18" fmla="*/ 66 w 79"/>
              <a:gd name="T19" fmla="*/ 70 h 79"/>
              <a:gd name="T20" fmla="*/ 58 w 79"/>
              <a:gd name="T21" fmla="*/ 75 h 79"/>
              <a:gd name="T22" fmla="*/ 48 w 79"/>
              <a:gd name="T23" fmla="*/ 78 h 79"/>
              <a:gd name="T24" fmla="*/ 39 w 79"/>
              <a:gd name="T25" fmla="*/ 79 h 79"/>
              <a:gd name="T26" fmla="*/ 28 w 79"/>
              <a:gd name="T27" fmla="*/ 78 h 79"/>
              <a:gd name="T28" fmla="*/ 17 w 79"/>
              <a:gd name="T29" fmla="*/ 73 h 79"/>
              <a:gd name="T30" fmla="*/ 9 w 79"/>
              <a:gd name="T31" fmla="*/ 66 h 79"/>
              <a:gd name="T32" fmla="*/ 3 w 79"/>
              <a:gd name="T33" fmla="*/ 57 h 79"/>
              <a:gd name="T34" fmla="*/ 0 w 79"/>
              <a:gd name="T35" fmla="*/ 47 h 79"/>
              <a:gd name="T36" fmla="*/ 0 w 79"/>
              <a:gd name="T37" fmla="*/ 31 h 79"/>
              <a:gd name="T38" fmla="*/ 5 w 79"/>
              <a:gd name="T39" fmla="*/ 18 h 79"/>
              <a:gd name="T40" fmla="*/ 12 w 79"/>
              <a:gd name="T41" fmla="*/ 9 h 79"/>
              <a:gd name="T42" fmla="*/ 20 w 79"/>
              <a:gd name="T43" fmla="*/ 3 h 79"/>
              <a:gd name="T44" fmla="*/ 31 w 79"/>
              <a:gd name="T45" fmla="*/ 0 h 79"/>
              <a:gd name="T46" fmla="*/ 31 w 79"/>
              <a:gd name="T47" fmla="*/ 0 h 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9" h="79">
                <a:moveTo>
                  <a:pt x="31" y="0"/>
                </a:moveTo>
                <a:lnTo>
                  <a:pt x="48" y="0"/>
                </a:lnTo>
                <a:lnTo>
                  <a:pt x="55" y="2"/>
                </a:lnTo>
                <a:lnTo>
                  <a:pt x="61" y="6"/>
                </a:lnTo>
                <a:lnTo>
                  <a:pt x="69" y="13"/>
                </a:lnTo>
                <a:lnTo>
                  <a:pt x="75" y="21"/>
                </a:lnTo>
                <a:lnTo>
                  <a:pt x="79" y="31"/>
                </a:lnTo>
                <a:lnTo>
                  <a:pt x="79" y="48"/>
                </a:lnTo>
                <a:lnTo>
                  <a:pt x="74" y="63"/>
                </a:lnTo>
                <a:lnTo>
                  <a:pt x="66" y="70"/>
                </a:lnTo>
                <a:lnTo>
                  <a:pt x="58" y="75"/>
                </a:lnTo>
                <a:lnTo>
                  <a:pt x="48" y="78"/>
                </a:lnTo>
                <a:lnTo>
                  <a:pt x="39" y="79"/>
                </a:lnTo>
                <a:lnTo>
                  <a:pt x="28" y="78"/>
                </a:lnTo>
                <a:lnTo>
                  <a:pt x="17" y="73"/>
                </a:lnTo>
                <a:lnTo>
                  <a:pt x="9" y="66"/>
                </a:lnTo>
                <a:lnTo>
                  <a:pt x="3" y="57"/>
                </a:lnTo>
                <a:lnTo>
                  <a:pt x="0" y="47"/>
                </a:lnTo>
                <a:lnTo>
                  <a:pt x="0" y="31"/>
                </a:lnTo>
                <a:lnTo>
                  <a:pt x="5" y="18"/>
                </a:lnTo>
                <a:lnTo>
                  <a:pt x="12" y="9"/>
                </a:lnTo>
                <a:lnTo>
                  <a:pt x="20" y="3"/>
                </a:lnTo>
                <a:lnTo>
                  <a:pt x="31" y="0"/>
                </a:lnTo>
                <a:lnTo>
                  <a:pt x="31" y="0"/>
                </a:lnTo>
                <a:close/>
              </a:path>
            </a:pathLst>
          </a:custGeom>
          <a:solidFill>
            <a:schemeClr val="accent5"/>
          </a:solidFill>
          <a:ln w="0">
            <a:solidFill>
              <a:schemeClr val="accent5"/>
            </a:solidFill>
            <a:prstDash val="solid"/>
            <a:round/>
            <a:headEnd/>
            <a:tailEnd/>
          </a:ln>
        </xdr:spPr>
      </xdr:sp>
      <xdr:sp macro="" textlink="">
        <xdr:nvSpPr>
          <xdr:cNvPr id="5" name="Freeform 53"/>
          <xdr:cNvSpPr>
            <a:spLocks/>
          </xdr:cNvSpPr>
        </xdr:nvSpPr>
        <xdr:spPr bwMode="auto">
          <a:xfrm>
            <a:off x="364" y="32"/>
            <a:ext cx="30" cy="9"/>
          </a:xfrm>
          <a:custGeom>
            <a:avLst/>
            <a:gdLst>
              <a:gd name="T0" fmla="*/ 33 w 152"/>
              <a:gd name="T1" fmla="*/ 0 h 43"/>
              <a:gd name="T2" fmla="*/ 152 w 152"/>
              <a:gd name="T3" fmla="*/ 0 h 43"/>
              <a:gd name="T4" fmla="*/ 129 w 152"/>
              <a:gd name="T5" fmla="*/ 19 h 43"/>
              <a:gd name="T6" fmla="*/ 105 w 152"/>
              <a:gd name="T7" fmla="*/ 32 h 43"/>
              <a:gd name="T8" fmla="*/ 81 w 152"/>
              <a:gd name="T9" fmla="*/ 41 h 43"/>
              <a:gd name="T10" fmla="*/ 57 w 152"/>
              <a:gd name="T11" fmla="*/ 43 h 43"/>
              <a:gd name="T12" fmla="*/ 29 w 152"/>
              <a:gd name="T13" fmla="*/ 40 h 43"/>
              <a:gd name="T14" fmla="*/ 0 w 152"/>
              <a:gd name="T15" fmla="*/ 28 h 43"/>
              <a:gd name="T16" fmla="*/ 16 w 152"/>
              <a:gd name="T17" fmla="*/ 13 h 43"/>
              <a:gd name="T18" fmla="*/ 33 w 152"/>
              <a:gd name="T19" fmla="*/ 0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52" h="43">
                <a:moveTo>
                  <a:pt x="33" y="0"/>
                </a:moveTo>
                <a:lnTo>
                  <a:pt x="152" y="0"/>
                </a:lnTo>
                <a:lnTo>
                  <a:pt x="129" y="19"/>
                </a:lnTo>
                <a:lnTo>
                  <a:pt x="105" y="32"/>
                </a:lnTo>
                <a:lnTo>
                  <a:pt x="81" y="41"/>
                </a:lnTo>
                <a:lnTo>
                  <a:pt x="57" y="43"/>
                </a:lnTo>
                <a:lnTo>
                  <a:pt x="29" y="40"/>
                </a:lnTo>
                <a:lnTo>
                  <a:pt x="0" y="28"/>
                </a:lnTo>
                <a:lnTo>
                  <a:pt x="16" y="13"/>
                </a:lnTo>
                <a:lnTo>
                  <a:pt x="33" y="0"/>
                </a:lnTo>
                <a:close/>
              </a:path>
            </a:pathLst>
          </a:custGeom>
          <a:solidFill>
            <a:schemeClr val="accent5"/>
          </a:solidFill>
          <a:ln w="0">
            <a:solidFill>
              <a:schemeClr val="accent5"/>
            </a:solidFill>
            <a:prstDash val="solid"/>
            <a:round/>
            <a:headEnd/>
            <a:tailEnd/>
          </a:ln>
        </xdr:spPr>
      </xdr:sp>
      <xdr:sp macro="" textlink="">
        <xdr:nvSpPr>
          <xdr:cNvPr id="6" name="Freeform 54"/>
          <xdr:cNvSpPr>
            <a:spLocks/>
          </xdr:cNvSpPr>
        </xdr:nvSpPr>
        <xdr:spPr bwMode="auto">
          <a:xfrm>
            <a:off x="313" y="40"/>
            <a:ext cx="32" cy="11"/>
          </a:xfrm>
          <a:custGeom>
            <a:avLst/>
            <a:gdLst>
              <a:gd name="T0" fmla="*/ 98 w 156"/>
              <a:gd name="T1" fmla="*/ 0 h 59"/>
              <a:gd name="T2" fmla="*/ 127 w 156"/>
              <a:gd name="T3" fmla="*/ 3 h 59"/>
              <a:gd name="T4" fmla="*/ 156 w 156"/>
              <a:gd name="T5" fmla="*/ 14 h 59"/>
              <a:gd name="T6" fmla="*/ 135 w 156"/>
              <a:gd name="T7" fmla="*/ 34 h 59"/>
              <a:gd name="T8" fmla="*/ 114 w 156"/>
              <a:gd name="T9" fmla="*/ 47 h 59"/>
              <a:gd name="T10" fmla="*/ 89 w 156"/>
              <a:gd name="T11" fmla="*/ 56 h 59"/>
              <a:gd name="T12" fmla="*/ 63 w 156"/>
              <a:gd name="T13" fmla="*/ 59 h 59"/>
              <a:gd name="T14" fmla="*/ 43 w 156"/>
              <a:gd name="T15" fmla="*/ 58 h 59"/>
              <a:gd name="T16" fmla="*/ 22 w 156"/>
              <a:gd name="T17" fmla="*/ 54 h 59"/>
              <a:gd name="T18" fmla="*/ 0 w 156"/>
              <a:gd name="T19" fmla="*/ 46 h 59"/>
              <a:gd name="T20" fmla="*/ 24 w 156"/>
              <a:gd name="T21" fmla="*/ 26 h 59"/>
              <a:gd name="T22" fmla="*/ 48 w 156"/>
              <a:gd name="T23" fmla="*/ 11 h 59"/>
              <a:gd name="T24" fmla="*/ 73 w 156"/>
              <a:gd name="T25" fmla="*/ 3 h 59"/>
              <a:gd name="T26" fmla="*/ 98 w 156"/>
              <a:gd name="T27" fmla="*/ 0 h 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56" h="59">
                <a:moveTo>
                  <a:pt x="98" y="0"/>
                </a:moveTo>
                <a:lnTo>
                  <a:pt x="127" y="3"/>
                </a:lnTo>
                <a:lnTo>
                  <a:pt x="156" y="14"/>
                </a:lnTo>
                <a:lnTo>
                  <a:pt x="135" y="34"/>
                </a:lnTo>
                <a:lnTo>
                  <a:pt x="114" y="47"/>
                </a:lnTo>
                <a:lnTo>
                  <a:pt x="89" y="56"/>
                </a:lnTo>
                <a:lnTo>
                  <a:pt x="63" y="59"/>
                </a:lnTo>
                <a:lnTo>
                  <a:pt x="43" y="58"/>
                </a:lnTo>
                <a:lnTo>
                  <a:pt x="22" y="54"/>
                </a:lnTo>
                <a:lnTo>
                  <a:pt x="0" y="46"/>
                </a:lnTo>
                <a:lnTo>
                  <a:pt x="24" y="26"/>
                </a:lnTo>
                <a:lnTo>
                  <a:pt x="48" y="11"/>
                </a:lnTo>
                <a:lnTo>
                  <a:pt x="73" y="3"/>
                </a:lnTo>
                <a:lnTo>
                  <a:pt x="98" y="0"/>
                </a:lnTo>
                <a:close/>
              </a:path>
            </a:pathLst>
          </a:custGeom>
          <a:solidFill>
            <a:schemeClr val="accent5"/>
          </a:solidFill>
          <a:ln w="0">
            <a:solidFill>
              <a:schemeClr val="accent5"/>
            </a:solidFill>
            <a:prstDash val="solid"/>
            <a:round/>
            <a:headEnd/>
            <a:tailEnd/>
          </a:ln>
        </xdr:spPr>
      </xdr:sp>
      <xdr:sp macro="" textlink="">
        <xdr:nvSpPr>
          <xdr:cNvPr id="7" name="Freeform 55"/>
          <xdr:cNvSpPr>
            <a:spLocks/>
          </xdr:cNvSpPr>
        </xdr:nvSpPr>
        <xdr:spPr bwMode="auto">
          <a:xfrm>
            <a:off x="353" y="50"/>
            <a:ext cx="12" cy="31"/>
          </a:xfrm>
          <a:custGeom>
            <a:avLst/>
            <a:gdLst>
              <a:gd name="T0" fmla="*/ 15 w 60"/>
              <a:gd name="T1" fmla="*/ 0 h 156"/>
              <a:gd name="T2" fmla="*/ 35 w 60"/>
              <a:gd name="T3" fmla="*/ 20 h 156"/>
              <a:gd name="T4" fmla="*/ 49 w 60"/>
              <a:gd name="T5" fmla="*/ 43 h 156"/>
              <a:gd name="T6" fmla="*/ 57 w 60"/>
              <a:gd name="T7" fmla="*/ 68 h 156"/>
              <a:gd name="T8" fmla="*/ 60 w 60"/>
              <a:gd name="T9" fmla="*/ 95 h 156"/>
              <a:gd name="T10" fmla="*/ 56 w 60"/>
              <a:gd name="T11" fmla="*/ 125 h 156"/>
              <a:gd name="T12" fmla="*/ 47 w 60"/>
              <a:gd name="T13" fmla="*/ 156 h 156"/>
              <a:gd name="T14" fmla="*/ 26 w 60"/>
              <a:gd name="T15" fmla="*/ 131 h 156"/>
              <a:gd name="T16" fmla="*/ 11 w 60"/>
              <a:gd name="T17" fmla="*/ 106 h 156"/>
              <a:gd name="T18" fmla="*/ 3 w 60"/>
              <a:gd name="T19" fmla="*/ 80 h 156"/>
              <a:gd name="T20" fmla="*/ 0 w 60"/>
              <a:gd name="T21" fmla="*/ 54 h 156"/>
              <a:gd name="T22" fmla="*/ 4 w 60"/>
              <a:gd name="T23" fmla="*/ 27 h 156"/>
              <a:gd name="T24" fmla="*/ 15 w 60"/>
              <a:gd name="T25" fmla="*/ 0 h 1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0" h="156">
                <a:moveTo>
                  <a:pt x="15" y="0"/>
                </a:moveTo>
                <a:lnTo>
                  <a:pt x="35" y="20"/>
                </a:lnTo>
                <a:lnTo>
                  <a:pt x="49" y="43"/>
                </a:lnTo>
                <a:lnTo>
                  <a:pt x="57" y="68"/>
                </a:lnTo>
                <a:lnTo>
                  <a:pt x="60" y="95"/>
                </a:lnTo>
                <a:lnTo>
                  <a:pt x="56" y="125"/>
                </a:lnTo>
                <a:lnTo>
                  <a:pt x="47" y="156"/>
                </a:lnTo>
                <a:lnTo>
                  <a:pt x="26" y="131"/>
                </a:lnTo>
                <a:lnTo>
                  <a:pt x="11" y="106"/>
                </a:lnTo>
                <a:lnTo>
                  <a:pt x="3" y="80"/>
                </a:lnTo>
                <a:lnTo>
                  <a:pt x="0" y="54"/>
                </a:lnTo>
                <a:lnTo>
                  <a:pt x="4" y="27"/>
                </a:lnTo>
                <a:lnTo>
                  <a:pt x="15" y="0"/>
                </a:lnTo>
                <a:close/>
              </a:path>
            </a:pathLst>
          </a:custGeom>
          <a:solidFill>
            <a:schemeClr val="accent5"/>
          </a:solidFill>
          <a:ln w="0">
            <a:solidFill>
              <a:schemeClr val="accent5"/>
            </a:solidFill>
            <a:prstDash val="solid"/>
            <a:round/>
            <a:headEnd/>
            <a:tailEnd/>
          </a:ln>
        </xdr:spPr>
      </xdr:sp>
      <xdr:sp macro="" textlink="">
        <xdr:nvSpPr>
          <xdr:cNvPr id="8" name="Freeform 56"/>
          <xdr:cNvSpPr>
            <a:spLocks/>
          </xdr:cNvSpPr>
        </xdr:nvSpPr>
        <xdr:spPr bwMode="auto">
          <a:xfrm>
            <a:off x="331" y="49"/>
            <a:ext cx="18" cy="26"/>
          </a:xfrm>
          <a:custGeom>
            <a:avLst/>
            <a:gdLst>
              <a:gd name="T0" fmla="*/ 88 w 88"/>
              <a:gd name="T1" fmla="*/ 0 h 134"/>
              <a:gd name="T2" fmla="*/ 88 w 88"/>
              <a:gd name="T3" fmla="*/ 22 h 134"/>
              <a:gd name="T4" fmla="*/ 85 w 88"/>
              <a:gd name="T5" fmla="*/ 43 h 134"/>
              <a:gd name="T6" fmla="*/ 79 w 88"/>
              <a:gd name="T7" fmla="*/ 62 h 134"/>
              <a:gd name="T8" fmla="*/ 69 w 88"/>
              <a:gd name="T9" fmla="*/ 80 h 134"/>
              <a:gd name="T10" fmla="*/ 57 w 88"/>
              <a:gd name="T11" fmla="*/ 95 h 134"/>
              <a:gd name="T12" fmla="*/ 41 w 88"/>
              <a:gd name="T13" fmla="*/ 110 h 134"/>
              <a:gd name="T14" fmla="*/ 23 w 88"/>
              <a:gd name="T15" fmla="*/ 122 h 134"/>
              <a:gd name="T16" fmla="*/ 0 w 88"/>
              <a:gd name="T17" fmla="*/ 134 h 134"/>
              <a:gd name="T18" fmla="*/ 2 w 88"/>
              <a:gd name="T19" fmla="*/ 109 h 134"/>
              <a:gd name="T20" fmla="*/ 6 w 88"/>
              <a:gd name="T21" fmla="*/ 86 h 134"/>
              <a:gd name="T22" fmla="*/ 12 w 88"/>
              <a:gd name="T23" fmla="*/ 66 h 134"/>
              <a:gd name="T24" fmla="*/ 23 w 88"/>
              <a:gd name="T25" fmla="*/ 48 h 134"/>
              <a:gd name="T26" fmla="*/ 35 w 88"/>
              <a:gd name="T27" fmla="*/ 33 h 134"/>
              <a:gd name="T28" fmla="*/ 50 w 88"/>
              <a:gd name="T29" fmla="*/ 19 h 134"/>
              <a:gd name="T30" fmla="*/ 67 w 88"/>
              <a:gd name="T31" fmla="*/ 9 h 134"/>
              <a:gd name="T32" fmla="*/ 88 w 88"/>
              <a:gd name="T33" fmla="*/ 0 h 1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88" h="134">
                <a:moveTo>
                  <a:pt x="88" y="0"/>
                </a:moveTo>
                <a:lnTo>
                  <a:pt x="88" y="22"/>
                </a:lnTo>
                <a:lnTo>
                  <a:pt x="85" y="43"/>
                </a:lnTo>
                <a:lnTo>
                  <a:pt x="79" y="62"/>
                </a:lnTo>
                <a:lnTo>
                  <a:pt x="69" y="80"/>
                </a:lnTo>
                <a:lnTo>
                  <a:pt x="57" y="95"/>
                </a:lnTo>
                <a:lnTo>
                  <a:pt x="41" y="110"/>
                </a:lnTo>
                <a:lnTo>
                  <a:pt x="23" y="122"/>
                </a:lnTo>
                <a:lnTo>
                  <a:pt x="0" y="134"/>
                </a:lnTo>
                <a:lnTo>
                  <a:pt x="2" y="109"/>
                </a:lnTo>
                <a:lnTo>
                  <a:pt x="6" y="86"/>
                </a:lnTo>
                <a:lnTo>
                  <a:pt x="12" y="66"/>
                </a:lnTo>
                <a:lnTo>
                  <a:pt x="23" y="48"/>
                </a:lnTo>
                <a:lnTo>
                  <a:pt x="35" y="33"/>
                </a:lnTo>
                <a:lnTo>
                  <a:pt x="50" y="19"/>
                </a:lnTo>
                <a:lnTo>
                  <a:pt x="67" y="9"/>
                </a:lnTo>
                <a:lnTo>
                  <a:pt x="88" y="0"/>
                </a:lnTo>
                <a:close/>
              </a:path>
            </a:pathLst>
          </a:custGeom>
          <a:solidFill>
            <a:schemeClr val="accent5"/>
          </a:solidFill>
          <a:ln w="0">
            <a:solidFill>
              <a:schemeClr val="accent5"/>
            </a:solidFill>
            <a:prstDash val="solid"/>
            <a:round/>
            <a:headEnd/>
            <a:tailEnd/>
          </a:ln>
        </xdr:spPr>
      </xdr:sp>
      <xdr:sp macro="" textlink="">
        <xdr:nvSpPr>
          <xdr:cNvPr id="9" name="Freeform 57"/>
          <xdr:cNvSpPr>
            <a:spLocks/>
          </xdr:cNvSpPr>
        </xdr:nvSpPr>
        <xdr:spPr bwMode="auto">
          <a:xfrm>
            <a:off x="363" y="46"/>
            <a:ext cx="17" cy="11"/>
          </a:xfrm>
          <a:custGeom>
            <a:avLst/>
            <a:gdLst>
              <a:gd name="T0" fmla="*/ 11 w 89"/>
              <a:gd name="T1" fmla="*/ 0 h 59"/>
              <a:gd name="T2" fmla="*/ 36 w 89"/>
              <a:gd name="T3" fmla="*/ 2 h 59"/>
              <a:gd name="T4" fmla="*/ 58 w 89"/>
              <a:gd name="T5" fmla="*/ 8 h 59"/>
              <a:gd name="T6" fmla="*/ 79 w 89"/>
              <a:gd name="T7" fmla="*/ 18 h 59"/>
              <a:gd name="T8" fmla="*/ 84 w 89"/>
              <a:gd name="T9" fmla="*/ 23 h 59"/>
              <a:gd name="T10" fmla="*/ 89 w 89"/>
              <a:gd name="T11" fmla="*/ 27 h 59"/>
              <a:gd name="T12" fmla="*/ 81 w 89"/>
              <a:gd name="T13" fmla="*/ 26 h 59"/>
              <a:gd name="T14" fmla="*/ 69 w 89"/>
              <a:gd name="T15" fmla="*/ 28 h 59"/>
              <a:gd name="T16" fmla="*/ 57 w 89"/>
              <a:gd name="T17" fmla="*/ 33 h 59"/>
              <a:gd name="T18" fmla="*/ 48 w 89"/>
              <a:gd name="T19" fmla="*/ 42 h 59"/>
              <a:gd name="T20" fmla="*/ 41 w 89"/>
              <a:gd name="T21" fmla="*/ 53 h 59"/>
              <a:gd name="T22" fmla="*/ 40 w 89"/>
              <a:gd name="T23" fmla="*/ 59 h 59"/>
              <a:gd name="T24" fmla="*/ 24 w 89"/>
              <a:gd name="T25" fmla="*/ 43 h 59"/>
              <a:gd name="T26" fmla="*/ 10 w 89"/>
              <a:gd name="T27" fmla="*/ 24 h 59"/>
              <a:gd name="T28" fmla="*/ 0 w 89"/>
              <a:gd name="T29" fmla="*/ 0 h 59"/>
              <a:gd name="T30" fmla="*/ 11 w 89"/>
              <a:gd name="T31" fmla="*/ 0 h 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9" h="59">
                <a:moveTo>
                  <a:pt x="11" y="0"/>
                </a:moveTo>
                <a:lnTo>
                  <a:pt x="36" y="2"/>
                </a:lnTo>
                <a:lnTo>
                  <a:pt x="58" y="8"/>
                </a:lnTo>
                <a:lnTo>
                  <a:pt x="79" y="18"/>
                </a:lnTo>
                <a:lnTo>
                  <a:pt x="84" y="23"/>
                </a:lnTo>
                <a:lnTo>
                  <a:pt x="89" y="27"/>
                </a:lnTo>
                <a:lnTo>
                  <a:pt x="81" y="26"/>
                </a:lnTo>
                <a:lnTo>
                  <a:pt x="69" y="28"/>
                </a:lnTo>
                <a:lnTo>
                  <a:pt x="57" y="33"/>
                </a:lnTo>
                <a:lnTo>
                  <a:pt x="48" y="42"/>
                </a:lnTo>
                <a:lnTo>
                  <a:pt x="41" y="53"/>
                </a:lnTo>
                <a:lnTo>
                  <a:pt x="40" y="59"/>
                </a:lnTo>
                <a:lnTo>
                  <a:pt x="24" y="43"/>
                </a:lnTo>
                <a:lnTo>
                  <a:pt x="10" y="24"/>
                </a:lnTo>
                <a:lnTo>
                  <a:pt x="0" y="0"/>
                </a:lnTo>
                <a:lnTo>
                  <a:pt x="11" y="0"/>
                </a:lnTo>
                <a:close/>
              </a:path>
            </a:pathLst>
          </a:custGeom>
          <a:solidFill>
            <a:schemeClr val="accent5"/>
          </a:solidFill>
          <a:ln w="0">
            <a:solidFill>
              <a:schemeClr val="accent5"/>
            </a:solidFill>
            <a:prstDash val="solid"/>
            <a:round/>
            <a:headEnd/>
            <a:tailEnd/>
          </a:ln>
        </xdr:spPr>
      </xdr:sp>
      <xdr:sp macro="" textlink="">
        <xdr:nvSpPr>
          <xdr:cNvPr id="10" name="Freeform 58"/>
          <xdr:cNvSpPr>
            <a:spLocks/>
          </xdr:cNvSpPr>
        </xdr:nvSpPr>
        <xdr:spPr bwMode="auto">
          <a:xfrm>
            <a:off x="332" y="32"/>
            <a:ext cx="14" cy="3"/>
          </a:xfrm>
          <a:custGeom>
            <a:avLst/>
            <a:gdLst>
              <a:gd name="T0" fmla="*/ 0 w 69"/>
              <a:gd name="T1" fmla="*/ 0 h 14"/>
              <a:gd name="T2" fmla="*/ 63 w 69"/>
              <a:gd name="T3" fmla="*/ 0 h 14"/>
              <a:gd name="T4" fmla="*/ 66 w 69"/>
              <a:gd name="T5" fmla="*/ 6 h 14"/>
              <a:gd name="T6" fmla="*/ 69 w 69"/>
              <a:gd name="T7" fmla="*/ 13 h 14"/>
              <a:gd name="T8" fmla="*/ 57 w 69"/>
              <a:gd name="T9" fmla="*/ 14 h 14"/>
              <a:gd name="T10" fmla="*/ 36 w 69"/>
              <a:gd name="T11" fmla="*/ 12 h 14"/>
              <a:gd name="T12" fmla="*/ 18 w 69"/>
              <a:gd name="T13" fmla="*/ 7 h 14"/>
              <a:gd name="T14" fmla="*/ 0 w 69"/>
              <a:gd name="T15" fmla="*/ 0 h 1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69" h="14">
                <a:moveTo>
                  <a:pt x="0" y="0"/>
                </a:moveTo>
                <a:lnTo>
                  <a:pt x="63" y="0"/>
                </a:lnTo>
                <a:lnTo>
                  <a:pt x="66" y="6"/>
                </a:lnTo>
                <a:lnTo>
                  <a:pt x="69" y="13"/>
                </a:lnTo>
                <a:lnTo>
                  <a:pt x="57" y="14"/>
                </a:lnTo>
                <a:lnTo>
                  <a:pt x="36" y="12"/>
                </a:lnTo>
                <a:lnTo>
                  <a:pt x="18" y="7"/>
                </a:lnTo>
                <a:lnTo>
                  <a:pt x="0" y="0"/>
                </a:lnTo>
                <a:close/>
              </a:path>
            </a:pathLst>
          </a:custGeom>
          <a:solidFill>
            <a:schemeClr val="accent5"/>
          </a:solidFill>
          <a:ln w="0">
            <a:solidFill>
              <a:schemeClr val="accent5"/>
            </a:solidFill>
            <a:prstDash val="solid"/>
            <a:round/>
            <a:headEnd/>
            <a:tailEnd/>
          </a:ln>
        </xdr:spPr>
      </xdr:sp>
      <xdr:sp macro="" textlink="">
        <xdr:nvSpPr>
          <xdr:cNvPr id="11" name="Freeform 59"/>
          <xdr:cNvSpPr>
            <a:spLocks/>
          </xdr:cNvSpPr>
        </xdr:nvSpPr>
        <xdr:spPr bwMode="auto">
          <a:xfrm>
            <a:off x="302" y="120"/>
            <a:ext cx="7" cy="12"/>
          </a:xfrm>
          <a:custGeom>
            <a:avLst/>
            <a:gdLst>
              <a:gd name="T0" fmla="*/ 18 w 33"/>
              <a:gd name="T1" fmla="*/ 0 h 62"/>
              <a:gd name="T2" fmla="*/ 25 w 33"/>
              <a:gd name="T3" fmla="*/ 11 h 62"/>
              <a:gd name="T4" fmla="*/ 29 w 33"/>
              <a:gd name="T5" fmla="*/ 36 h 62"/>
              <a:gd name="T6" fmla="*/ 33 w 33"/>
              <a:gd name="T7" fmla="*/ 62 h 62"/>
              <a:gd name="T8" fmla="*/ 0 w 33"/>
              <a:gd name="T9" fmla="*/ 62 h 62"/>
              <a:gd name="T10" fmla="*/ 3 w 33"/>
              <a:gd name="T11" fmla="*/ 36 h 62"/>
              <a:gd name="T12" fmla="*/ 8 w 33"/>
              <a:gd name="T13" fmla="*/ 11 h 62"/>
              <a:gd name="T14" fmla="*/ 15 w 33"/>
              <a:gd name="T15" fmla="*/ 0 h 62"/>
              <a:gd name="T16" fmla="*/ 17 w 33"/>
              <a:gd name="T17" fmla="*/ 4 h 62"/>
              <a:gd name="T18" fmla="*/ 18 w 33"/>
              <a:gd name="T19"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3" h="62">
                <a:moveTo>
                  <a:pt x="18" y="0"/>
                </a:moveTo>
                <a:lnTo>
                  <a:pt x="25" y="11"/>
                </a:lnTo>
                <a:lnTo>
                  <a:pt x="29" y="36"/>
                </a:lnTo>
                <a:lnTo>
                  <a:pt x="33" y="62"/>
                </a:lnTo>
                <a:lnTo>
                  <a:pt x="0" y="62"/>
                </a:lnTo>
                <a:lnTo>
                  <a:pt x="3" y="36"/>
                </a:lnTo>
                <a:lnTo>
                  <a:pt x="8" y="11"/>
                </a:lnTo>
                <a:lnTo>
                  <a:pt x="15" y="0"/>
                </a:lnTo>
                <a:lnTo>
                  <a:pt x="17" y="4"/>
                </a:lnTo>
                <a:lnTo>
                  <a:pt x="18" y="0"/>
                </a:lnTo>
                <a:close/>
              </a:path>
            </a:pathLst>
          </a:custGeom>
          <a:solidFill>
            <a:schemeClr val="accent6"/>
          </a:solidFill>
          <a:ln w="0">
            <a:solidFill>
              <a:schemeClr val="accent6"/>
            </a:solidFill>
            <a:prstDash val="solid"/>
            <a:round/>
            <a:headEnd/>
            <a:tailEnd/>
          </a:ln>
        </xdr:spPr>
      </xdr:sp>
      <xdr:sp macro="" textlink="">
        <xdr:nvSpPr>
          <xdr:cNvPr id="12" name="Freeform 60"/>
          <xdr:cNvSpPr>
            <a:spLocks/>
          </xdr:cNvSpPr>
        </xdr:nvSpPr>
        <xdr:spPr bwMode="auto">
          <a:xfrm>
            <a:off x="301" y="67"/>
            <a:ext cx="9" cy="49"/>
          </a:xfrm>
          <a:custGeom>
            <a:avLst/>
            <a:gdLst>
              <a:gd name="T0" fmla="*/ 35 w 42"/>
              <a:gd name="T1" fmla="*/ 0 h 249"/>
              <a:gd name="T2" fmla="*/ 40 w 42"/>
              <a:gd name="T3" fmla="*/ 49 h 249"/>
              <a:gd name="T4" fmla="*/ 42 w 42"/>
              <a:gd name="T5" fmla="*/ 102 h 249"/>
              <a:gd name="T6" fmla="*/ 41 w 42"/>
              <a:gd name="T7" fmla="*/ 150 h 249"/>
              <a:gd name="T8" fmla="*/ 36 w 42"/>
              <a:gd name="T9" fmla="*/ 196 h 249"/>
              <a:gd name="T10" fmla="*/ 30 w 42"/>
              <a:gd name="T11" fmla="*/ 236 h 249"/>
              <a:gd name="T12" fmla="*/ 22 w 42"/>
              <a:gd name="T13" fmla="*/ 249 h 249"/>
              <a:gd name="T14" fmla="*/ 13 w 42"/>
              <a:gd name="T15" fmla="*/ 236 h 249"/>
              <a:gd name="T16" fmla="*/ 6 w 42"/>
              <a:gd name="T17" fmla="*/ 195 h 249"/>
              <a:gd name="T18" fmla="*/ 2 w 42"/>
              <a:gd name="T19" fmla="*/ 150 h 249"/>
              <a:gd name="T20" fmla="*/ 0 w 42"/>
              <a:gd name="T21" fmla="*/ 102 h 249"/>
              <a:gd name="T22" fmla="*/ 1 w 42"/>
              <a:gd name="T23" fmla="*/ 62 h 249"/>
              <a:gd name="T24" fmla="*/ 4 w 42"/>
              <a:gd name="T25" fmla="*/ 26 h 249"/>
              <a:gd name="T26" fmla="*/ 22 w 42"/>
              <a:gd name="T27" fmla="*/ 15 h 249"/>
              <a:gd name="T28" fmla="*/ 35 w 42"/>
              <a:gd name="T29" fmla="*/ 0 h 2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2" h="249">
                <a:moveTo>
                  <a:pt x="35" y="0"/>
                </a:moveTo>
                <a:lnTo>
                  <a:pt x="40" y="49"/>
                </a:lnTo>
                <a:lnTo>
                  <a:pt x="42" y="102"/>
                </a:lnTo>
                <a:lnTo>
                  <a:pt x="41" y="150"/>
                </a:lnTo>
                <a:lnTo>
                  <a:pt x="36" y="196"/>
                </a:lnTo>
                <a:lnTo>
                  <a:pt x="30" y="236"/>
                </a:lnTo>
                <a:lnTo>
                  <a:pt x="22" y="249"/>
                </a:lnTo>
                <a:lnTo>
                  <a:pt x="13" y="236"/>
                </a:lnTo>
                <a:lnTo>
                  <a:pt x="6" y="195"/>
                </a:lnTo>
                <a:lnTo>
                  <a:pt x="2" y="150"/>
                </a:lnTo>
                <a:lnTo>
                  <a:pt x="0" y="102"/>
                </a:lnTo>
                <a:lnTo>
                  <a:pt x="1" y="62"/>
                </a:lnTo>
                <a:lnTo>
                  <a:pt x="4" y="26"/>
                </a:lnTo>
                <a:lnTo>
                  <a:pt x="22" y="15"/>
                </a:lnTo>
                <a:lnTo>
                  <a:pt x="35" y="0"/>
                </a:lnTo>
                <a:close/>
              </a:path>
            </a:pathLst>
          </a:custGeom>
          <a:solidFill>
            <a:schemeClr val="accent6"/>
          </a:solidFill>
          <a:ln w="0">
            <a:solidFill>
              <a:schemeClr val="accent6"/>
            </a:solidFill>
            <a:prstDash val="solid"/>
            <a:round/>
            <a:headEnd/>
            <a:tailEnd/>
          </a:ln>
        </xdr:spPr>
      </xdr:sp>
      <xdr:sp macro="" textlink="">
        <xdr:nvSpPr>
          <xdr:cNvPr id="13" name="Freeform 61"/>
          <xdr:cNvSpPr>
            <a:spLocks/>
          </xdr:cNvSpPr>
        </xdr:nvSpPr>
        <xdr:spPr bwMode="auto">
          <a:xfrm>
            <a:off x="305" y="119"/>
            <a:ext cx="1" cy="1"/>
          </a:xfrm>
          <a:custGeom>
            <a:avLst/>
            <a:gdLst>
              <a:gd name="T0" fmla="*/ 2 w 3"/>
              <a:gd name="T1" fmla="*/ 0 h 6"/>
              <a:gd name="T2" fmla="*/ 3 w 3"/>
              <a:gd name="T3" fmla="*/ 2 h 6"/>
              <a:gd name="T4" fmla="*/ 2 w 3"/>
              <a:gd name="T5" fmla="*/ 6 h 6"/>
              <a:gd name="T6" fmla="*/ 0 w 3"/>
              <a:gd name="T7" fmla="*/ 2 h 6"/>
              <a:gd name="T8" fmla="*/ 2 w 3"/>
              <a:gd name="T9" fmla="*/ 0 h 6"/>
            </a:gdLst>
            <a:ahLst/>
            <a:cxnLst>
              <a:cxn ang="0">
                <a:pos x="T0" y="T1"/>
              </a:cxn>
              <a:cxn ang="0">
                <a:pos x="T2" y="T3"/>
              </a:cxn>
              <a:cxn ang="0">
                <a:pos x="T4" y="T5"/>
              </a:cxn>
              <a:cxn ang="0">
                <a:pos x="T6" y="T7"/>
              </a:cxn>
              <a:cxn ang="0">
                <a:pos x="T8" y="T9"/>
              </a:cxn>
            </a:cxnLst>
            <a:rect l="0" t="0" r="r" b="b"/>
            <a:pathLst>
              <a:path w="3" h="6">
                <a:moveTo>
                  <a:pt x="2" y="0"/>
                </a:moveTo>
                <a:lnTo>
                  <a:pt x="3" y="2"/>
                </a:lnTo>
                <a:lnTo>
                  <a:pt x="2" y="6"/>
                </a:lnTo>
                <a:lnTo>
                  <a:pt x="0" y="2"/>
                </a:lnTo>
                <a:lnTo>
                  <a:pt x="2" y="0"/>
                </a:lnTo>
                <a:close/>
              </a:path>
            </a:pathLst>
          </a:custGeom>
          <a:solidFill>
            <a:srgbClr val="FF3AEC"/>
          </a:solidFill>
          <a:ln w="0">
            <a:noFill/>
            <a:prstDash val="solid"/>
            <a:round/>
            <a:headEnd/>
            <a:tailEnd/>
          </a:ln>
        </xdr:spPr>
      </xdr:sp>
      <xdr:sp macro="" textlink="">
        <xdr:nvSpPr>
          <xdr:cNvPr id="14" name="Freeform 62"/>
          <xdr:cNvSpPr>
            <a:spLocks/>
          </xdr:cNvSpPr>
        </xdr:nvSpPr>
        <xdr:spPr bwMode="auto">
          <a:xfrm>
            <a:off x="241" y="114"/>
            <a:ext cx="63" cy="8"/>
          </a:xfrm>
          <a:custGeom>
            <a:avLst/>
            <a:gdLst>
              <a:gd name="T0" fmla="*/ 167 w 312"/>
              <a:gd name="T1" fmla="*/ 0 h 42"/>
              <a:gd name="T2" fmla="*/ 215 w 312"/>
              <a:gd name="T3" fmla="*/ 1 h 42"/>
              <a:gd name="T4" fmla="*/ 260 w 312"/>
              <a:gd name="T5" fmla="*/ 6 h 42"/>
              <a:gd name="T6" fmla="*/ 301 w 312"/>
              <a:gd name="T7" fmla="*/ 13 h 42"/>
              <a:gd name="T8" fmla="*/ 312 w 312"/>
              <a:gd name="T9" fmla="*/ 20 h 42"/>
              <a:gd name="T10" fmla="*/ 308 w 312"/>
              <a:gd name="T11" fmla="*/ 21 h 42"/>
              <a:gd name="T12" fmla="*/ 312 w 312"/>
              <a:gd name="T13" fmla="*/ 22 h 42"/>
              <a:gd name="T14" fmla="*/ 301 w 312"/>
              <a:gd name="T15" fmla="*/ 30 h 42"/>
              <a:gd name="T16" fmla="*/ 260 w 312"/>
              <a:gd name="T17" fmla="*/ 37 h 42"/>
              <a:gd name="T18" fmla="*/ 215 w 312"/>
              <a:gd name="T19" fmla="*/ 41 h 42"/>
              <a:gd name="T20" fmla="*/ 167 w 312"/>
              <a:gd name="T21" fmla="*/ 42 h 42"/>
              <a:gd name="T22" fmla="*/ 120 w 312"/>
              <a:gd name="T23" fmla="*/ 41 h 42"/>
              <a:gd name="T24" fmla="*/ 76 w 312"/>
              <a:gd name="T25" fmla="*/ 37 h 42"/>
              <a:gd name="T26" fmla="*/ 35 w 312"/>
              <a:gd name="T27" fmla="*/ 31 h 42"/>
              <a:gd name="T28" fmla="*/ 0 w 312"/>
              <a:gd name="T29" fmla="*/ 21 h 42"/>
              <a:gd name="T30" fmla="*/ 35 w 312"/>
              <a:gd name="T31" fmla="*/ 12 h 42"/>
              <a:gd name="T32" fmla="*/ 76 w 312"/>
              <a:gd name="T33" fmla="*/ 6 h 42"/>
              <a:gd name="T34" fmla="*/ 120 w 312"/>
              <a:gd name="T35" fmla="*/ 1 h 42"/>
              <a:gd name="T36" fmla="*/ 167 w 312"/>
              <a:gd name="T3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312" h="42">
                <a:moveTo>
                  <a:pt x="167" y="0"/>
                </a:moveTo>
                <a:lnTo>
                  <a:pt x="215" y="1"/>
                </a:lnTo>
                <a:lnTo>
                  <a:pt x="260" y="6"/>
                </a:lnTo>
                <a:lnTo>
                  <a:pt x="301" y="13"/>
                </a:lnTo>
                <a:lnTo>
                  <a:pt x="312" y="20"/>
                </a:lnTo>
                <a:lnTo>
                  <a:pt x="308" y="21"/>
                </a:lnTo>
                <a:lnTo>
                  <a:pt x="312" y="22"/>
                </a:lnTo>
                <a:lnTo>
                  <a:pt x="301" y="30"/>
                </a:lnTo>
                <a:lnTo>
                  <a:pt x="260" y="37"/>
                </a:lnTo>
                <a:lnTo>
                  <a:pt x="215" y="41"/>
                </a:lnTo>
                <a:lnTo>
                  <a:pt x="167" y="42"/>
                </a:lnTo>
                <a:lnTo>
                  <a:pt x="120" y="41"/>
                </a:lnTo>
                <a:lnTo>
                  <a:pt x="76" y="37"/>
                </a:lnTo>
                <a:lnTo>
                  <a:pt x="35" y="31"/>
                </a:lnTo>
                <a:lnTo>
                  <a:pt x="0" y="21"/>
                </a:lnTo>
                <a:lnTo>
                  <a:pt x="35" y="12"/>
                </a:lnTo>
                <a:lnTo>
                  <a:pt x="76" y="6"/>
                </a:lnTo>
                <a:lnTo>
                  <a:pt x="120" y="1"/>
                </a:lnTo>
                <a:lnTo>
                  <a:pt x="167" y="0"/>
                </a:lnTo>
                <a:close/>
              </a:path>
            </a:pathLst>
          </a:custGeom>
          <a:solidFill>
            <a:schemeClr val="accent6"/>
          </a:solidFill>
          <a:ln w="0">
            <a:solidFill>
              <a:schemeClr val="accent6"/>
            </a:solidFill>
            <a:prstDash val="solid"/>
            <a:round/>
            <a:headEnd/>
            <a:tailEnd/>
          </a:ln>
        </xdr:spPr>
      </xdr:sp>
      <xdr:sp macro="" textlink="">
        <xdr:nvSpPr>
          <xdr:cNvPr id="15" name="Freeform 63"/>
          <xdr:cNvSpPr>
            <a:spLocks/>
          </xdr:cNvSpPr>
        </xdr:nvSpPr>
        <xdr:spPr bwMode="auto">
          <a:xfrm>
            <a:off x="307" y="114"/>
            <a:ext cx="63" cy="8"/>
          </a:xfrm>
          <a:custGeom>
            <a:avLst/>
            <a:gdLst>
              <a:gd name="T0" fmla="*/ 148 w 314"/>
              <a:gd name="T1" fmla="*/ 0 h 42"/>
              <a:gd name="T2" fmla="*/ 194 w 314"/>
              <a:gd name="T3" fmla="*/ 1 h 42"/>
              <a:gd name="T4" fmla="*/ 239 w 314"/>
              <a:gd name="T5" fmla="*/ 6 h 42"/>
              <a:gd name="T6" fmla="*/ 279 w 314"/>
              <a:gd name="T7" fmla="*/ 12 h 42"/>
              <a:gd name="T8" fmla="*/ 314 w 314"/>
              <a:gd name="T9" fmla="*/ 21 h 42"/>
              <a:gd name="T10" fmla="*/ 279 w 314"/>
              <a:gd name="T11" fmla="*/ 31 h 42"/>
              <a:gd name="T12" fmla="*/ 239 w 314"/>
              <a:gd name="T13" fmla="*/ 37 h 42"/>
              <a:gd name="T14" fmla="*/ 194 w 314"/>
              <a:gd name="T15" fmla="*/ 41 h 42"/>
              <a:gd name="T16" fmla="*/ 148 w 314"/>
              <a:gd name="T17" fmla="*/ 42 h 42"/>
              <a:gd name="T18" fmla="*/ 99 w 314"/>
              <a:gd name="T19" fmla="*/ 41 h 42"/>
              <a:gd name="T20" fmla="*/ 54 w 314"/>
              <a:gd name="T21" fmla="*/ 37 h 42"/>
              <a:gd name="T22" fmla="*/ 13 w 314"/>
              <a:gd name="T23" fmla="*/ 30 h 42"/>
              <a:gd name="T24" fmla="*/ 0 w 314"/>
              <a:gd name="T25" fmla="*/ 21 h 42"/>
              <a:gd name="T26" fmla="*/ 13 w 314"/>
              <a:gd name="T27" fmla="*/ 13 h 42"/>
              <a:gd name="T28" fmla="*/ 54 w 314"/>
              <a:gd name="T29" fmla="*/ 6 h 42"/>
              <a:gd name="T30" fmla="*/ 99 w 314"/>
              <a:gd name="T31" fmla="*/ 1 h 42"/>
              <a:gd name="T32" fmla="*/ 148 w 314"/>
              <a:gd name="T33"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14" h="42">
                <a:moveTo>
                  <a:pt x="148" y="0"/>
                </a:moveTo>
                <a:lnTo>
                  <a:pt x="194" y="1"/>
                </a:lnTo>
                <a:lnTo>
                  <a:pt x="239" y="6"/>
                </a:lnTo>
                <a:lnTo>
                  <a:pt x="279" y="12"/>
                </a:lnTo>
                <a:lnTo>
                  <a:pt x="314" y="21"/>
                </a:lnTo>
                <a:lnTo>
                  <a:pt x="279" y="31"/>
                </a:lnTo>
                <a:lnTo>
                  <a:pt x="239" y="37"/>
                </a:lnTo>
                <a:lnTo>
                  <a:pt x="194" y="41"/>
                </a:lnTo>
                <a:lnTo>
                  <a:pt x="148" y="42"/>
                </a:lnTo>
                <a:lnTo>
                  <a:pt x="99" y="41"/>
                </a:lnTo>
                <a:lnTo>
                  <a:pt x="54" y="37"/>
                </a:lnTo>
                <a:lnTo>
                  <a:pt x="13" y="30"/>
                </a:lnTo>
                <a:lnTo>
                  <a:pt x="0" y="21"/>
                </a:lnTo>
                <a:lnTo>
                  <a:pt x="13" y="13"/>
                </a:lnTo>
                <a:lnTo>
                  <a:pt x="54" y="6"/>
                </a:lnTo>
                <a:lnTo>
                  <a:pt x="99" y="1"/>
                </a:lnTo>
                <a:lnTo>
                  <a:pt x="148" y="0"/>
                </a:lnTo>
                <a:close/>
              </a:path>
            </a:pathLst>
          </a:custGeom>
          <a:solidFill>
            <a:schemeClr val="accent6"/>
          </a:solidFill>
          <a:ln w="0">
            <a:solidFill>
              <a:schemeClr val="accent6"/>
            </a:solidFill>
            <a:prstDash val="solid"/>
            <a:round/>
            <a:headEnd/>
            <a:tailEnd/>
          </a:ln>
        </xdr:spPr>
      </xdr:sp>
      <xdr:sp macro="" textlink="">
        <xdr:nvSpPr>
          <xdr:cNvPr id="16" name="Freeform 64"/>
          <xdr:cNvSpPr>
            <a:spLocks/>
          </xdr:cNvSpPr>
        </xdr:nvSpPr>
        <xdr:spPr bwMode="auto">
          <a:xfrm>
            <a:off x="303" y="118"/>
            <a:ext cx="1" cy="0"/>
          </a:xfrm>
          <a:custGeom>
            <a:avLst/>
            <a:gdLst>
              <a:gd name="T0" fmla="*/ 4 w 6"/>
              <a:gd name="T1" fmla="*/ 0 h 2"/>
              <a:gd name="T2" fmla="*/ 6 w 6"/>
              <a:gd name="T3" fmla="*/ 1 h 2"/>
              <a:gd name="T4" fmla="*/ 4 w 6"/>
              <a:gd name="T5" fmla="*/ 2 h 2"/>
              <a:gd name="T6" fmla="*/ 0 w 6"/>
              <a:gd name="T7" fmla="*/ 1 h 2"/>
              <a:gd name="T8" fmla="*/ 4 w 6"/>
              <a:gd name="T9" fmla="*/ 0 h 2"/>
            </a:gdLst>
            <a:ahLst/>
            <a:cxnLst>
              <a:cxn ang="0">
                <a:pos x="T0" y="T1"/>
              </a:cxn>
              <a:cxn ang="0">
                <a:pos x="T2" y="T3"/>
              </a:cxn>
              <a:cxn ang="0">
                <a:pos x="T4" y="T5"/>
              </a:cxn>
              <a:cxn ang="0">
                <a:pos x="T6" y="T7"/>
              </a:cxn>
              <a:cxn ang="0">
                <a:pos x="T8" y="T9"/>
              </a:cxn>
            </a:cxnLst>
            <a:rect l="0" t="0" r="r" b="b"/>
            <a:pathLst>
              <a:path w="6" h="2">
                <a:moveTo>
                  <a:pt x="4" y="0"/>
                </a:moveTo>
                <a:lnTo>
                  <a:pt x="6" y="1"/>
                </a:lnTo>
                <a:lnTo>
                  <a:pt x="4" y="2"/>
                </a:lnTo>
                <a:lnTo>
                  <a:pt x="0" y="1"/>
                </a:lnTo>
                <a:lnTo>
                  <a:pt x="4" y="0"/>
                </a:lnTo>
                <a:close/>
              </a:path>
            </a:pathLst>
          </a:custGeom>
          <a:solidFill>
            <a:srgbClr val="FF3AEC"/>
          </a:solidFill>
          <a:ln w="0">
            <a:noFill/>
            <a:prstDash val="solid"/>
            <a:round/>
            <a:headEnd/>
            <a:tailEnd/>
          </a:ln>
        </xdr:spPr>
      </xdr:sp>
      <xdr:sp macro="" textlink="">
        <xdr:nvSpPr>
          <xdr:cNvPr id="17" name="Freeform 65"/>
          <xdr:cNvSpPr>
            <a:spLocks/>
          </xdr:cNvSpPr>
        </xdr:nvSpPr>
        <xdr:spPr bwMode="auto">
          <a:xfrm>
            <a:off x="260" y="72"/>
            <a:ext cx="7" cy="6"/>
          </a:xfrm>
          <a:custGeom>
            <a:avLst/>
            <a:gdLst>
              <a:gd name="T0" fmla="*/ 0 w 36"/>
              <a:gd name="T1" fmla="*/ 0 h 29"/>
              <a:gd name="T2" fmla="*/ 17 w 36"/>
              <a:gd name="T3" fmla="*/ 11 h 29"/>
              <a:gd name="T4" fmla="*/ 36 w 36"/>
              <a:gd name="T5" fmla="*/ 23 h 29"/>
              <a:gd name="T6" fmla="*/ 17 w 36"/>
              <a:gd name="T7" fmla="*/ 29 h 29"/>
              <a:gd name="T8" fmla="*/ 0 w 36"/>
              <a:gd name="T9" fmla="*/ 0 h 29"/>
            </a:gdLst>
            <a:ahLst/>
            <a:cxnLst>
              <a:cxn ang="0">
                <a:pos x="T0" y="T1"/>
              </a:cxn>
              <a:cxn ang="0">
                <a:pos x="T2" y="T3"/>
              </a:cxn>
              <a:cxn ang="0">
                <a:pos x="T4" y="T5"/>
              </a:cxn>
              <a:cxn ang="0">
                <a:pos x="T6" y="T7"/>
              </a:cxn>
              <a:cxn ang="0">
                <a:pos x="T8" y="T9"/>
              </a:cxn>
            </a:cxnLst>
            <a:rect l="0" t="0" r="r" b="b"/>
            <a:pathLst>
              <a:path w="36" h="29">
                <a:moveTo>
                  <a:pt x="0" y="0"/>
                </a:moveTo>
                <a:lnTo>
                  <a:pt x="17" y="11"/>
                </a:lnTo>
                <a:lnTo>
                  <a:pt x="36" y="23"/>
                </a:lnTo>
                <a:lnTo>
                  <a:pt x="17" y="29"/>
                </a:lnTo>
                <a:lnTo>
                  <a:pt x="0" y="0"/>
                </a:lnTo>
                <a:close/>
              </a:path>
            </a:pathLst>
          </a:custGeom>
          <a:solidFill>
            <a:schemeClr val="accent6"/>
          </a:solidFill>
          <a:ln w="0">
            <a:solidFill>
              <a:schemeClr val="accent6"/>
            </a:solidFill>
            <a:prstDash val="solid"/>
            <a:round/>
            <a:headEnd/>
            <a:tailEnd/>
          </a:ln>
        </xdr:spPr>
      </xdr:sp>
      <xdr:sp macro="" textlink="">
        <xdr:nvSpPr>
          <xdr:cNvPr id="18" name="Freeform 66"/>
          <xdr:cNvSpPr>
            <a:spLocks/>
          </xdr:cNvSpPr>
        </xdr:nvSpPr>
        <xdr:spPr bwMode="auto">
          <a:xfrm>
            <a:off x="280" y="98"/>
            <a:ext cx="26" cy="20"/>
          </a:xfrm>
          <a:custGeom>
            <a:avLst/>
            <a:gdLst>
              <a:gd name="T0" fmla="*/ 55 w 126"/>
              <a:gd name="T1" fmla="*/ 0 h 99"/>
              <a:gd name="T2" fmla="*/ 79 w 126"/>
              <a:gd name="T3" fmla="*/ 27 h 99"/>
              <a:gd name="T4" fmla="*/ 99 w 126"/>
              <a:gd name="T5" fmla="*/ 53 h 99"/>
              <a:gd name="T6" fmla="*/ 117 w 126"/>
              <a:gd name="T7" fmla="*/ 79 h 99"/>
              <a:gd name="T8" fmla="*/ 126 w 126"/>
              <a:gd name="T9" fmla="*/ 92 h 99"/>
              <a:gd name="T10" fmla="*/ 123 w 126"/>
              <a:gd name="T11" fmla="*/ 95 h 99"/>
              <a:gd name="T12" fmla="*/ 116 w 126"/>
              <a:gd name="T13" fmla="*/ 90 h 99"/>
              <a:gd name="T14" fmla="*/ 120 w 126"/>
              <a:gd name="T15" fmla="*/ 98 h 99"/>
              <a:gd name="T16" fmla="*/ 118 w 126"/>
              <a:gd name="T17" fmla="*/ 99 h 99"/>
              <a:gd name="T18" fmla="*/ 116 w 126"/>
              <a:gd name="T19" fmla="*/ 98 h 99"/>
              <a:gd name="T20" fmla="*/ 105 w 126"/>
              <a:gd name="T21" fmla="*/ 91 h 99"/>
              <a:gd name="T22" fmla="*/ 71 w 126"/>
              <a:gd name="T23" fmla="*/ 67 h 99"/>
              <a:gd name="T24" fmla="*/ 36 w 126"/>
              <a:gd name="T25" fmla="*/ 38 h 99"/>
              <a:gd name="T26" fmla="*/ 1 w 126"/>
              <a:gd name="T27" fmla="*/ 5 h 99"/>
              <a:gd name="T28" fmla="*/ 0 w 126"/>
              <a:gd name="T29" fmla="*/ 3 h 99"/>
              <a:gd name="T30" fmla="*/ 11 w 126"/>
              <a:gd name="T31" fmla="*/ 6 h 99"/>
              <a:gd name="T32" fmla="*/ 23 w 126"/>
              <a:gd name="T33" fmla="*/ 8 h 99"/>
              <a:gd name="T34" fmla="*/ 39 w 126"/>
              <a:gd name="T35" fmla="*/ 5 h 99"/>
              <a:gd name="T36" fmla="*/ 55 w 126"/>
              <a:gd name="T37" fmla="*/ 0 h 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26" h="99">
                <a:moveTo>
                  <a:pt x="55" y="0"/>
                </a:moveTo>
                <a:lnTo>
                  <a:pt x="79" y="27"/>
                </a:lnTo>
                <a:lnTo>
                  <a:pt x="99" y="53"/>
                </a:lnTo>
                <a:lnTo>
                  <a:pt x="117" y="79"/>
                </a:lnTo>
                <a:lnTo>
                  <a:pt x="126" y="92"/>
                </a:lnTo>
                <a:lnTo>
                  <a:pt x="123" y="95"/>
                </a:lnTo>
                <a:lnTo>
                  <a:pt x="116" y="90"/>
                </a:lnTo>
                <a:lnTo>
                  <a:pt x="120" y="98"/>
                </a:lnTo>
                <a:lnTo>
                  <a:pt x="118" y="99"/>
                </a:lnTo>
                <a:lnTo>
                  <a:pt x="116" y="98"/>
                </a:lnTo>
                <a:lnTo>
                  <a:pt x="105" y="91"/>
                </a:lnTo>
                <a:lnTo>
                  <a:pt x="71" y="67"/>
                </a:lnTo>
                <a:lnTo>
                  <a:pt x="36" y="38"/>
                </a:lnTo>
                <a:lnTo>
                  <a:pt x="1" y="5"/>
                </a:lnTo>
                <a:lnTo>
                  <a:pt x="0" y="3"/>
                </a:lnTo>
                <a:lnTo>
                  <a:pt x="11" y="6"/>
                </a:lnTo>
                <a:lnTo>
                  <a:pt x="23" y="8"/>
                </a:lnTo>
                <a:lnTo>
                  <a:pt x="39" y="5"/>
                </a:lnTo>
                <a:lnTo>
                  <a:pt x="55" y="0"/>
                </a:lnTo>
                <a:close/>
              </a:path>
            </a:pathLst>
          </a:custGeom>
          <a:solidFill>
            <a:schemeClr val="accent6"/>
          </a:solidFill>
          <a:ln w="0">
            <a:solidFill>
              <a:schemeClr val="accent6"/>
            </a:solidFill>
            <a:prstDash val="solid"/>
            <a:round/>
            <a:headEnd/>
            <a:tailEnd/>
          </a:ln>
        </xdr:spPr>
      </xdr:sp>
      <xdr:sp macro="" textlink="">
        <xdr:nvSpPr>
          <xdr:cNvPr id="19" name="Freeform 67"/>
          <xdr:cNvSpPr>
            <a:spLocks/>
          </xdr:cNvSpPr>
        </xdr:nvSpPr>
        <xdr:spPr bwMode="auto">
          <a:xfrm>
            <a:off x="306" y="118"/>
            <a:ext cx="19" cy="14"/>
          </a:xfrm>
          <a:custGeom>
            <a:avLst/>
            <a:gdLst>
              <a:gd name="T0" fmla="*/ 6 w 99"/>
              <a:gd name="T1" fmla="*/ 0 h 71"/>
              <a:gd name="T2" fmla="*/ 19 w 99"/>
              <a:gd name="T3" fmla="*/ 9 h 71"/>
              <a:gd name="T4" fmla="*/ 45 w 99"/>
              <a:gd name="T5" fmla="*/ 26 h 71"/>
              <a:gd name="T6" fmla="*/ 72 w 99"/>
              <a:gd name="T7" fmla="*/ 47 h 71"/>
              <a:gd name="T8" fmla="*/ 99 w 99"/>
              <a:gd name="T9" fmla="*/ 71 h 71"/>
              <a:gd name="T10" fmla="*/ 45 w 99"/>
              <a:gd name="T11" fmla="*/ 71 h 71"/>
              <a:gd name="T12" fmla="*/ 25 w 99"/>
              <a:gd name="T13" fmla="*/ 45 h 71"/>
              <a:gd name="T14" fmla="*/ 8 w 99"/>
              <a:gd name="T15" fmla="*/ 20 h 71"/>
              <a:gd name="T16" fmla="*/ 1 w 99"/>
              <a:gd name="T17" fmla="*/ 9 h 71"/>
              <a:gd name="T18" fmla="*/ 0 w 99"/>
              <a:gd name="T19" fmla="*/ 7 h 71"/>
              <a:gd name="T20" fmla="*/ 2 w 99"/>
              <a:gd name="T21" fmla="*/ 2 h 71"/>
              <a:gd name="T22" fmla="*/ 6 w 99"/>
              <a:gd name="T23" fmla="*/ 0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99" h="71">
                <a:moveTo>
                  <a:pt x="6" y="0"/>
                </a:moveTo>
                <a:lnTo>
                  <a:pt x="19" y="9"/>
                </a:lnTo>
                <a:lnTo>
                  <a:pt x="45" y="26"/>
                </a:lnTo>
                <a:lnTo>
                  <a:pt x="72" y="47"/>
                </a:lnTo>
                <a:lnTo>
                  <a:pt x="99" y="71"/>
                </a:lnTo>
                <a:lnTo>
                  <a:pt x="45" y="71"/>
                </a:lnTo>
                <a:lnTo>
                  <a:pt x="25" y="45"/>
                </a:lnTo>
                <a:lnTo>
                  <a:pt x="8" y="20"/>
                </a:lnTo>
                <a:lnTo>
                  <a:pt x="1" y="9"/>
                </a:lnTo>
                <a:lnTo>
                  <a:pt x="0" y="7"/>
                </a:lnTo>
                <a:lnTo>
                  <a:pt x="2" y="2"/>
                </a:lnTo>
                <a:lnTo>
                  <a:pt x="6" y="0"/>
                </a:lnTo>
                <a:close/>
              </a:path>
            </a:pathLst>
          </a:custGeom>
          <a:solidFill>
            <a:schemeClr val="accent6"/>
          </a:solidFill>
          <a:ln w="0">
            <a:solidFill>
              <a:schemeClr val="accent6"/>
            </a:solidFill>
            <a:prstDash val="solid"/>
            <a:round/>
            <a:headEnd/>
            <a:tailEnd/>
          </a:ln>
        </xdr:spPr>
      </xdr:sp>
      <xdr:sp macro="" textlink="">
        <xdr:nvSpPr>
          <xdr:cNvPr id="20" name="Freeform 68"/>
          <xdr:cNvSpPr>
            <a:spLocks/>
          </xdr:cNvSpPr>
        </xdr:nvSpPr>
        <xdr:spPr bwMode="auto">
          <a:xfrm>
            <a:off x="304" y="116"/>
            <a:ext cx="1" cy="2"/>
          </a:xfrm>
          <a:custGeom>
            <a:avLst/>
            <a:gdLst>
              <a:gd name="T0" fmla="*/ 0 w 7"/>
              <a:gd name="T1" fmla="*/ 0 h 8"/>
              <a:gd name="T2" fmla="*/ 4 w 7"/>
              <a:gd name="T3" fmla="*/ 2 h 8"/>
              <a:gd name="T4" fmla="*/ 7 w 7"/>
              <a:gd name="T5" fmla="*/ 5 h 8"/>
              <a:gd name="T6" fmla="*/ 6 w 7"/>
              <a:gd name="T7" fmla="*/ 7 h 8"/>
              <a:gd name="T8" fmla="*/ 4 w 7"/>
              <a:gd name="T9" fmla="*/ 8 h 8"/>
              <a:gd name="T10" fmla="*/ 0 w 7"/>
              <a:gd name="T11" fmla="*/ 0 h 8"/>
            </a:gdLst>
            <a:ahLst/>
            <a:cxnLst>
              <a:cxn ang="0">
                <a:pos x="T0" y="T1"/>
              </a:cxn>
              <a:cxn ang="0">
                <a:pos x="T2" y="T3"/>
              </a:cxn>
              <a:cxn ang="0">
                <a:pos x="T4" y="T5"/>
              </a:cxn>
              <a:cxn ang="0">
                <a:pos x="T6" y="T7"/>
              </a:cxn>
              <a:cxn ang="0">
                <a:pos x="T8" y="T9"/>
              </a:cxn>
              <a:cxn ang="0">
                <a:pos x="T10" y="T11"/>
              </a:cxn>
            </a:cxnLst>
            <a:rect l="0" t="0" r="r" b="b"/>
            <a:pathLst>
              <a:path w="7" h="8">
                <a:moveTo>
                  <a:pt x="0" y="0"/>
                </a:moveTo>
                <a:lnTo>
                  <a:pt x="4" y="2"/>
                </a:lnTo>
                <a:lnTo>
                  <a:pt x="7" y="5"/>
                </a:lnTo>
                <a:lnTo>
                  <a:pt x="6" y="7"/>
                </a:lnTo>
                <a:lnTo>
                  <a:pt x="4" y="8"/>
                </a:lnTo>
                <a:lnTo>
                  <a:pt x="0" y="0"/>
                </a:lnTo>
                <a:close/>
              </a:path>
            </a:pathLst>
          </a:custGeom>
          <a:solidFill>
            <a:srgbClr val="FF3AEC"/>
          </a:solidFill>
          <a:ln w="0">
            <a:noFill/>
            <a:prstDash val="solid"/>
            <a:round/>
            <a:headEnd/>
            <a:tailEnd/>
          </a:ln>
        </xdr:spPr>
      </xdr:sp>
      <xdr:sp macro="" textlink="">
        <xdr:nvSpPr>
          <xdr:cNvPr id="21" name="Freeform 69"/>
          <xdr:cNvSpPr>
            <a:spLocks/>
          </xdr:cNvSpPr>
        </xdr:nvSpPr>
        <xdr:spPr bwMode="auto">
          <a:xfrm>
            <a:off x="305" y="72"/>
            <a:ext cx="46" cy="46"/>
          </a:xfrm>
          <a:custGeom>
            <a:avLst/>
            <a:gdLst>
              <a:gd name="T0" fmla="*/ 231 w 231"/>
              <a:gd name="T1" fmla="*/ 0 h 229"/>
              <a:gd name="T2" fmla="*/ 212 w 231"/>
              <a:gd name="T3" fmla="*/ 31 h 229"/>
              <a:gd name="T4" fmla="*/ 188 w 231"/>
              <a:gd name="T5" fmla="*/ 65 h 229"/>
              <a:gd name="T6" fmla="*/ 160 w 231"/>
              <a:gd name="T7" fmla="*/ 99 h 229"/>
              <a:gd name="T8" fmla="*/ 127 w 231"/>
              <a:gd name="T9" fmla="*/ 133 h 229"/>
              <a:gd name="T10" fmla="*/ 92 w 231"/>
              <a:gd name="T11" fmla="*/ 166 h 229"/>
              <a:gd name="T12" fmla="*/ 57 w 231"/>
              <a:gd name="T13" fmla="*/ 195 h 229"/>
              <a:gd name="T14" fmla="*/ 23 w 231"/>
              <a:gd name="T15" fmla="*/ 219 h 229"/>
              <a:gd name="T16" fmla="*/ 10 w 231"/>
              <a:gd name="T17" fmla="*/ 227 h 229"/>
              <a:gd name="T18" fmla="*/ 6 w 231"/>
              <a:gd name="T19" fmla="*/ 229 h 229"/>
              <a:gd name="T20" fmla="*/ 9 w 231"/>
              <a:gd name="T21" fmla="*/ 224 h 229"/>
              <a:gd name="T22" fmla="*/ 12 w 231"/>
              <a:gd name="T23" fmla="*/ 218 h 229"/>
              <a:gd name="T24" fmla="*/ 7 w 231"/>
              <a:gd name="T25" fmla="*/ 221 h 229"/>
              <a:gd name="T26" fmla="*/ 0 w 231"/>
              <a:gd name="T27" fmla="*/ 225 h 229"/>
              <a:gd name="T28" fmla="*/ 1 w 231"/>
              <a:gd name="T29" fmla="*/ 223 h 229"/>
              <a:gd name="T30" fmla="*/ 4 w 231"/>
              <a:gd name="T31" fmla="*/ 220 h 229"/>
              <a:gd name="T32" fmla="*/ 12 w 231"/>
              <a:gd name="T33" fmla="*/ 207 h 229"/>
              <a:gd name="T34" fmla="*/ 36 w 231"/>
              <a:gd name="T35" fmla="*/ 173 h 229"/>
              <a:gd name="T36" fmla="*/ 64 w 231"/>
              <a:gd name="T37" fmla="*/ 139 h 229"/>
              <a:gd name="T38" fmla="*/ 97 w 231"/>
              <a:gd name="T39" fmla="*/ 103 h 229"/>
              <a:gd name="T40" fmla="*/ 132 w 231"/>
              <a:gd name="T41" fmla="*/ 71 h 229"/>
              <a:gd name="T42" fmla="*/ 166 w 231"/>
              <a:gd name="T43" fmla="*/ 42 h 229"/>
              <a:gd name="T44" fmla="*/ 199 w 231"/>
              <a:gd name="T45" fmla="*/ 19 h 229"/>
              <a:gd name="T46" fmla="*/ 231 w 231"/>
              <a:gd name="T47" fmla="*/ 0 h 2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231" h="229">
                <a:moveTo>
                  <a:pt x="231" y="0"/>
                </a:moveTo>
                <a:lnTo>
                  <a:pt x="212" y="31"/>
                </a:lnTo>
                <a:lnTo>
                  <a:pt x="188" y="65"/>
                </a:lnTo>
                <a:lnTo>
                  <a:pt x="160" y="99"/>
                </a:lnTo>
                <a:lnTo>
                  <a:pt x="127" y="133"/>
                </a:lnTo>
                <a:lnTo>
                  <a:pt x="92" y="166"/>
                </a:lnTo>
                <a:lnTo>
                  <a:pt x="57" y="195"/>
                </a:lnTo>
                <a:lnTo>
                  <a:pt x="23" y="219"/>
                </a:lnTo>
                <a:lnTo>
                  <a:pt x="10" y="227"/>
                </a:lnTo>
                <a:lnTo>
                  <a:pt x="6" y="229"/>
                </a:lnTo>
                <a:lnTo>
                  <a:pt x="9" y="224"/>
                </a:lnTo>
                <a:lnTo>
                  <a:pt x="12" y="218"/>
                </a:lnTo>
                <a:lnTo>
                  <a:pt x="7" y="221"/>
                </a:lnTo>
                <a:lnTo>
                  <a:pt x="0" y="225"/>
                </a:lnTo>
                <a:lnTo>
                  <a:pt x="1" y="223"/>
                </a:lnTo>
                <a:lnTo>
                  <a:pt x="4" y="220"/>
                </a:lnTo>
                <a:lnTo>
                  <a:pt x="12" y="207"/>
                </a:lnTo>
                <a:lnTo>
                  <a:pt x="36" y="173"/>
                </a:lnTo>
                <a:lnTo>
                  <a:pt x="64" y="139"/>
                </a:lnTo>
                <a:lnTo>
                  <a:pt x="97" y="103"/>
                </a:lnTo>
                <a:lnTo>
                  <a:pt x="132" y="71"/>
                </a:lnTo>
                <a:lnTo>
                  <a:pt x="166" y="42"/>
                </a:lnTo>
                <a:lnTo>
                  <a:pt x="199" y="19"/>
                </a:lnTo>
                <a:lnTo>
                  <a:pt x="231" y="0"/>
                </a:lnTo>
                <a:close/>
              </a:path>
            </a:pathLst>
          </a:custGeom>
          <a:solidFill>
            <a:schemeClr val="accent6"/>
          </a:solidFill>
          <a:ln w="0">
            <a:noFill/>
            <a:prstDash val="solid"/>
            <a:round/>
            <a:headEnd/>
            <a:tailEnd/>
          </a:ln>
        </xdr:spPr>
      </xdr:sp>
      <xdr:sp macro="" textlink="">
        <xdr:nvSpPr>
          <xdr:cNvPr id="22" name="Freeform 70"/>
          <xdr:cNvSpPr>
            <a:spLocks/>
          </xdr:cNvSpPr>
        </xdr:nvSpPr>
        <xdr:spPr bwMode="auto">
          <a:xfrm>
            <a:off x="286" y="116"/>
            <a:ext cx="21" cy="16"/>
          </a:xfrm>
          <a:custGeom>
            <a:avLst/>
            <a:gdLst>
              <a:gd name="T0" fmla="*/ 108 w 108"/>
              <a:gd name="T1" fmla="*/ 0 h 80"/>
              <a:gd name="T2" fmla="*/ 105 w 108"/>
              <a:gd name="T3" fmla="*/ 6 h 80"/>
              <a:gd name="T4" fmla="*/ 102 w 108"/>
              <a:gd name="T5" fmla="*/ 11 h 80"/>
              <a:gd name="T6" fmla="*/ 100 w 108"/>
              <a:gd name="T7" fmla="*/ 16 h 80"/>
              <a:gd name="T8" fmla="*/ 98 w 108"/>
              <a:gd name="T9" fmla="*/ 18 h 80"/>
              <a:gd name="T10" fmla="*/ 91 w 108"/>
              <a:gd name="T11" fmla="*/ 29 h 80"/>
              <a:gd name="T12" fmla="*/ 73 w 108"/>
              <a:gd name="T13" fmla="*/ 54 h 80"/>
              <a:gd name="T14" fmla="*/ 54 w 108"/>
              <a:gd name="T15" fmla="*/ 80 h 80"/>
              <a:gd name="T16" fmla="*/ 0 w 108"/>
              <a:gd name="T17" fmla="*/ 80 h 80"/>
              <a:gd name="T18" fmla="*/ 27 w 108"/>
              <a:gd name="T19" fmla="*/ 56 h 80"/>
              <a:gd name="T20" fmla="*/ 53 w 108"/>
              <a:gd name="T21" fmla="*/ 35 h 80"/>
              <a:gd name="T22" fmla="*/ 79 w 108"/>
              <a:gd name="T23" fmla="*/ 18 h 80"/>
              <a:gd name="T24" fmla="*/ 90 w 108"/>
              <a:gd name="T25" fmla="*/ 10 h 80"/>
              <a:gd name="T26" fmla="*/ 92 w 108"/>
              <a:gd name="T27" fmla="*/ 9 h 80"/>
              <a:gd name="T28" fmla="*/ 94 w 108"/>
              <a:gd name="T29" fmla="*/ 8 h 80"/>
              <a:gd name="T30" fmla="*/ 96 w 108"/>
              <a:gd name="T31" fmla="*/ 7 h 80"/>
              <a:gd name="T32" fmla="*/ 103 w 108"/>
              <a:gd name="T33" fmla="*/ 3 h 80"/>
              <a:gd name="T34" fmla="*/ 108 w 108"/>
              <a:gd name="T35" fmla="*/ 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108" h="80">
                <a:moveTo>
                  <a:pt x="108" y="0"/>
                </a:moveTo>
                <a:lnTo>
                  <a:pt x="105" y="6"/>
                </a:lnTo>
                <a:lnTo>
                  <a:pt x="102" y="11"/>
                </a:lnTo>
                <a:lnTo>
                  <a:pt x="100" y="16"/>
                </a:lnTo>
                <a:lnTo>
                  <a:pt x="98" y="18"/>
                </a:lnTo>
                <a:lnTo>
                  <a:pt x="91" y="29"/>
                </a:lnTo>
                <a:lnTo>
                  <a:pt x="73" y="54"/>
                </a:lnTo>
                <a:lnTo>
                  <a:pt x="54" y="80"/>
                </a:lnTo>
                <a:lnTo>
                  <a:pt x="0" y="80"/>
                </a:lnTo>
                <a:lnTo>
                  <a:pt x="27" y="56"/>
                </a:lnTo>
                <a:lnTo>
                  <a:pt x="53" y="35"/>
                </a:lnTo>
                <a:lnTo>
                  <a:pt x="79" y="18"/>
                </a:lnTo>
                <a:lnTo>
                  <a:pt x="90" y="10"/>
                </a:lnTo>
                <a:lnTo>
                  <a:pt x="92" y="9"/>
                </a:lnTo>
                <a:lnTo>
                  <a:pt x="94" y="8"/>
                </a:lnTo>
                <a:lnTo>
                  <a:pt x="96" y="7"/>
                </a:lnTo>
                <a:lnTo>
                  <a:pt x="103" y="3"/>
                </a:lnTo>
                <a:lnTo>
                  <a:pt x="108" y="0"/>
                </a:lnTo>
                <a:close/>
              </a:path>
            </a:pathLst>
          </a:custGeom>
          <a:solidFill>
            <a:schemeClr val="accent6"/>
          </a:solidFill>
          <a:ln w="0">
            <a:solidFill>
              <a:schemeClr val="accent6"/>
            </a:solidFill>
            <a:prstDash val="solid"/>
            <a:round/>
            <a:headEnd/>
            <a:tailEnd/>
          </a:ln>
        </xdr:spPr>
      </xdr:sp>
      <xdr:sp macro="" textlink="">
        <xdr:nvSpPr>
          <xdr:cNvPr id="23" name="Freeform 71"/>
          <xdr:cNvSpPr>
            <a:spLocks/>
          </xdr:cNvSpPr>
        </xdr:nvSpPr>
        <xdr:spPr bwMode="auto">
          <a:xfrm>
            <a:off x="188" y="112"/>
            <a:ext cx="23" cy="20"/>
          </a:xfrm>
          <a:custGeom>
            <a:avLst/>
            <a:gdLst>
              <a:gd name="T0" fmla="*/ 88 w 115"/>
              <a:gd name="T1" fmla="*/ 0 h 100"/>
              <a:gd name="T2" fmla="*/ 92 w 115"/>
              <a:gd name="T3" fmla="*/ 0 h 100"/>
              <a:gd name="T4" fmla="*/ 96 w 115"/>
              <a:gd name="T5" fmla="*/ 2 h 100"/>
              <a:gd name="T6" fmla="*/ 99 w 115"/>
              <a:gd name="T7" fmla="*/ 4 h 100"/>
              <a:gd name="T8" fmla="*/ 102 w 115"/>
              <a:gd name="T9" fmla="*/ 8 h 100"/>
              <a:gd name="T10" fmla="*/ 104 w 115"/>
              <a:gd name="T11" fmla="*/ 13 h 100"/>
              <a:gd name="T12" fmla="*/ 106 w 115"/>
              <a:gd name="T13" fmla="*/ 19 h 100"/>
              <a:gd name="T14" fmla="*/ 114 w 115"/>
              <a:gd name="T15" fmla="*/ 63 h 100"/>
              <a:gd name="T16" fmla="*/ 115 w 115"/>
              <a:gd name="T17" fmla="*/ 76 h 100"/>
              <a:gd name="T18" fmla="*/ 114 w 115"/>
              <a:gd name="T19" fmla="*/ 89 h 100"/>
              <a:gd name="T20" fmla="*/ 109 w 115"/>
              <a:gd name="T21" fmla="*/ 100 h 100"/>
              <a:gd name="T22" fmla="*/ 11 w 115"/>
              <a:gd name="T23" fmla="*/ 100 h 100"/>
              <a:gd name="T24" fmla="*/ 3 w 115"/>
              <a:gd name="T25" fmla="*/ 86 h 100"/>
              <a:gd name="T26" fmla="*/ 0 w 115"/>
              <a:gd name="T27" fmla="*/ 70 h 100"/>
              <a:gd name="T28" fmla="*/ 2 w 115"/>
              <a:gd name="T29" fmla="*/ 57 h 100"/>
              <a:gd name="T30" fmla="*/ 8 w 115"/>
              <a:gd name="T31" fmla="*/ 46 h 100"/>
              <a:gd name="T32" fmla="*/ 15 w 115"/>
              <a:gd name="T33" fmla="*/ 34 h 100"/>
              <a:gd name="T34" fmla="*/ 24 w 115"/>
              <a:gd name="T35" fmla="*/ 26 h 100"/>
              <a:gd name="T36" fmla="*/ 35 w 115"/>
              <a:gd name="T37" fmla="*/ 21 h 100"/>
              <a:gd name="T38" fmla="*/ 76 w 115"/>
              <a:gd name="T39" fmla="*/ 3 h 100"/>
              <a:gd name="T40" fmla="*/ 80 w 115"/>
              <a:gd name="T41" fmla="*/ 1 h 100"/>
              <a:gd name="T42" fmla="*/ 85 w 115"/>
              <a:gd name="T43" fmla="*/ 0 h 100"/>
              <a:gd name="T44" fmla="*/ 88 w 115"/>
              <a:gd name="T45" fmla="*/ 0 h 1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115" h="100">
                <a:moveTo>
                  <a:pt x="88" y="0"/>
                </a:moveTo>
                <a:lnTo>
                  <a:pt x="92" y="0"/>
                </a:lnTo>
                <a:lnTo>
                  <a:pt x="96" y="2"/>
                </a:lnTo>
                <a:lnTo>
                  <a:pt x="99" y="4"/>
                </a:lnTo>
                <a:lnTo>
                  <a:pt x="102" y="8"/>
                </a:lnTo>
                <a:lnTo>
                  <a:pt x="104" y="13"/>
                </a:lnTo>
                <a:lnTo>
                  <a:pt x="106" y="19"/>
                </a:lnTo>
                <a:lnTo>
                  <a:pt x="114" y="63"/>
                </a:lnTo>
                <a:lnTo>
                  <a:pt x="115" y="76"/>
                </a:lnTo>
                <a:lnTo>
                  <a:pt x="114" y="89"/>
                </a:lnTo>
                <a:lnTo>
                  <a:pt x="109" y="100"/>
                </a:lnTo>
                <a:lnTo>
                  <a:pt x="11" y="100"/>
                </a:lnTo>
                <a:lnTo>
                  <a:pt x="3" y="86"/>
                </a:lnTo>
                <a:lnTo>
                  <a:pt x="0" y="70"/>
                </a:lnTo>
                <a:lnTo>
                  <a:pt x="2" y="57"/>
                </a:lnTo>
                <a:lnTo>
                  <a:pt x="8" y="46"/>
                </a:lnTo>
                <a:lnTo>
                  <a:pt x="15" y="34"/>
                </a:lnTo>
                <a:lnTo>
                  <a:pt x="24" y="26"/>
                </a:lnTo>
                <a:lnTo>
                  <a:pt x="35" y="21"/>
                </a:lnTo>
                <a:lnTo>
                  <a:pt x="76" y="3"/>
                </a:lnTo>
                <a:lnTo>
                  <a:pt x="80" y="1"/>
                </a:lnTo>
                <a:lnTo>
                  <a:pt x="85" y="0"/>
                </a:lnTo>
                <a:lnTo>
                  <a:pt x="88" y="0"/>
                </a:lnTo>
                <a:close/>
              </a:path>
            </a:pathLst>
          </a:custGeom>
          <a:solidFill>
            <a:schemeClr val="accent2"/>
          </a:solidFill>
          <a:ln w="0">
            <a:solidFill>
              <a:schemeClr val="accent2"/>
            </a:solidFill>
            <a:prstDash val="solid"/>
            <a:round/>
            <a:headEnd/>
            <a:tailEnd/>
          </a:ln>
        </xdr:spPr>
      </xdr:sp>
      <xdr:sp macro="" textlink="">
        <xdr:nvSpPr>
          <xdr:cNvPr id="24" name="Freeform 72"/>
          <xdr:cNvSpPr>
            <a:spLocks/>
          </xdr:cNvSpPr>
        </xdr:nvSpPr>
        <xdr:spPr bwMode="auto">
          <a:xfrm>
            <a:off x="207" y="81"/>
            <a:ext cx="20" cy="25"/>
          </a:xfrm>
          <a:custGeom>
            <a:avLst/>
            <a:gdLst>
              <a:gd name="T0" fmla="*/ 50 w 102"/>
              <a:gd name="T1" fmla="*/ 0 h 127"/>
              <a:gd name="T2" fmla="*/ 55 w 102"/>
              <a:gd name="T3" fmla="*/ 0 h 127"/>
              <a:gd name="T4" fmla="*/ 53 w 102"/>
              <a:gd name="T5" fmla="*/ 18 h 127"/>
              <a:gd name="T6" fmla="*/ 53 w 102"/>
              <a:gd name="T7" fmla="*/ 19 h 127"/>
              <a:gd name="T8" fmla="*/ 55 w 102"/>
              <a:gd name="T9" fmla="*/ 37 h 127"/>
              <a:gd name="T10" fmla="*/ 63 w 102"/>
              <a:gd name="T11" fmla="*/ 55 h 127"/>
              <a:gd name="T12" fmla="*/ 75 w 102"/>
              <a:gd name="T13" fmla="*/ 72 h 127"/>
              <a:gd name="T14" fmla="*/ 88 w 102"/>
              <a:gd name="T15" fmla="*/ 82 h 127"/>
              <a:gd name="T16" fmla="*/ 102 w 102"/>
              <a:gd name="T17" fmla="*/ 88 h 127"/>
              <a:gd name="T18" fmla="*/ 99 w 102"/>
              <a:gd name="T19" fmla="*/ 93 h 127"/>
              <a:gd name="T20" fmla="*/ 91 w 102"/>
              <a:gd name="T21" fmla="*/ 100 h 127"/>
              <a:gd name="T22" fmla="*/ 79 w 102"/>
              <a:gd name="T23" fmla="*/ 106 h 127"/>
              <a:gd name="T24" fmla="*/ 40 w 102"/>
              <a:gd name="T25" fmla="*/ 124 h 127"/>
              <a:gd name="T26" fmla="*/ 34 w 102"/>
              <a:gd name="T27" fmla="*/ 126 h 127"/>
              <a:gd name="T28" fmla="*/ 30 w 102"/>
              <a:gd name="T29" fmla="*/ 127 h 127"/>
              <a:gd name="T30" fmla="*/ 27 w 102"/>
              <a:gd name="T31" fmla="*/ 127 h 127"/>
              <a:gd name="T32" fmla="*/ 22 w 102"/>
              <a:gd name="T33" fmla="*/ 127 h 127"/>
              <a:gd name="T34" fmla="*/ 19 w 102"/>
              <a:gd name="T35" fmla="*/ 125 h 127"/>
              <a:gd name="T36" fmla="*/ 16 w 102"/>
              <a:gd name="T37" fmla="*/ 123 h 127"/>
              <a:gd name="T38" fmla="*/ 12 w 102"/>
              <a:gd name="T39" fmla="*/ 119 h 127"/>
              <a:gd name="T40" fmla="*/ 9 w 102"/>
              <a:gd name="T41" fmla="*/ 114 h 127"/>
              <a:gd name="T42" fmla="*/ 8 w 102"/>
              <a:gd name="T43" fmla="*/ 108 h 127"/>
              <a:gd name="T44" fmla="*/ 1 w 102"/>
              <a:gd name="T45" fmla="*/ 64 h 127"/>
              <a:gd name="T46" fmla="*/ 0 w 102"/>
              <a:gd name="T47" fmla="*/ 46 h 127"/>
              <a:gd name="T48" fmla="*/ 4 w 102"/>
              <a:gd name="T49" fmla="*/ 29 h 127"/>
              <a:gd name="T50" fmla="*/ 15 w 102"/>
              <a:gd name="T51" fmla="*/ 14 h 127"/>
              <a:gd name="T52" fmla="*/ 27 w 102"/>
              <a:gd name="T53" fmla="*/ 4 h 127"/>
              <a:gd name="T54" fmla="*/ 43 w 102"/>
              <a:gd name="T55" fmla="*/ 0 h 127"/>
              <a:gd name="T56" fmla="*/ 50 w 102"/>
              <a:gd name="T57" fmla="*/ 0 h 12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02" h="127">
                <a:moveTo>
                  <a:pt x="50" y="0"/>
                </a:moveTo>
                <a:lnTo>
                  <a:pt x="55" y="0"/>
                </a:lnTo>
                <a:lnTo>
                  <a:pt x="53" y="18"/>
                </a:lnTo>
                <a:lnTo>
                  <a:pt x="53" y="19"/>
                </a:lnTo>
                <a:lnTo>
                  <a:pt x="55" y="37"/>
                </a:lnTo>
                <a:lnTo>
                  <a:pt x="63" y="55"/>
                </a:lnTo>
                <a:lnTo>
                  <a:pt x="75" y="72"/>
                </a:lnTo>
                <a:lnTo>
                  <a:pt x="88" y="82"/>
                </a:lnTo>
                <a:lnTo>
                  <a:pt x="102" y="88"/>
                </a:lnTo>
                <a:lnTo>
                  <a:pt x="99" y="93"/>
                </a:lnTo>
                <a:lnTo>
                  <a:pt x="91" y="100"/>
                </a:lnTo>
                <a:lnTo>
                  <a:pt x="79" y="106"/>
                </a:lnTo>
                <a:lnTo>
                  <a:pt x="40" y="124"/>
                </a:lnTo>
                <a:lnTo>
                  <a:pt x="34" y="126"/>
                </a:lnTo>
                <a:lnTo>
                  <a:pt x="30" y="127"/>
                </a:lnTo>
                <a:lnTo>
                  <a:pt x="27" y="127"/>
                </a:lnTo>
                <a:lnTo>
                  <a:pt x="22" y="127"/>
                </a:lnTo>
                <a:lnTo>
                  <a:pt x="19" y="125"/>
                </a:lnTo>
                <a:lnTo>
                  <a:pt x="16" y="123"/>
                </a:lnTo>
                <a:lnTo>
                  <a:pt x="12" y="119"/>
                </a:lnTo>
                <a:lnTo>
                  <a:pt x="9" y="114"/>
                </a:lnTo>
                <a:lnTo>
                  <a:pt x="8" y="108"/>
                </a:lnTo>
                <a:lnTo>
                  <a:pt x="1" y="64"/>
                </a:lnTo>
                <a:lnTo>
                  <a:pt x="0" y="46"/>
                </a:lnTo>
                <a:lnTo>
                  <a:pt x="4" y="29"/>
                </a:lnTo>
                <a:lnTo>
                  <a:pt x="15" y="14"/>
                </a:lnTo>
                <a:lnTo>
                  <a:pt x="27" y="4"/>
                </a:lnTo>
                <a:lnTo>
                  <a:pt x="43" y="0"/>
                </a:lnTo>
                <a:lnTo>
                  <a:pt x="50" y="0"/>
                </a:lnTo>
                <a:close/>
              </a:path>
            </a:pathLst>
          </a:custGeom>
          <a:solidFill>
            <a:schemeClr val="accent2"/>
          </a:solidFill>
          <a:ln w="0">
            <a:solidFill>
              <a:schemeClr val="accent2"/>
            </a:solidFill>
            <a:prstDash val="solid"/>
            <a:round/>
            <a:headEnd/>
            <a:tailEnd/>
          </a:ln>
        </xdr:spPr>
      </xdr:sp>
      <xdr:sp macro="" textlink="">
        <xdr:nvSpPr>
          <xdr:cNvPr id="25" name="Freeform 73"/>
          <xdr:cNvSpPr>
            <a:spLocks/>
          </xdr:cNvSpPr>
        </xdr:nvSpPr>
        <xdr:spPr bwMode="auto">
          <a:xfrm>
            <a:off x="207" y="108"/>
            <a:ext cx="3" cy="3"/>
          </a:xfrm>
          <a:custGeom>
            <a:avLst/>
            <a:gdLst>
              <a:gd name="T0" fmla="*/ 6 w 15"/>
              <a:gd name="T1" fmla="*/ 0 h 16"/>
              <a:gd name="T2" fmla="*/ 8 w 15"/>
              <a:gd name="T3" fmla="*/ 0 h 16"/>
              <a:gd name="T4" fmla="*/ 10 w 15"/>
              <a:gd name="T5" fmla="*/ 1 h 16"/>
              <a:gd name="T6" fmla="*/ 14 w 15"/>
              <a:gd name="T7" fmla="*/ 3 h 16"/>
              <a:gd name="T8" fmla="*/ 15 w 15"/>
              <a:gd name="T9" fmla="*/ 6 h 16"/>
              <a:gd name="T10" fmla="*/ 15 w 15"/>
              <a:gd name="T11" fmla="*/ 8 h 16"/>
              <a:gd name="T12" fmla="*/ 14 w 15"/>
              <a:gd name="T13" fmla="*/ 12 h 16"/>
              <a:gd name="T14" fmla="*/ 13 w 15"/>
              <a:gd name="T15" fmla="*/ 14 h 16"/>
              <a:gd name="T16" fmla="*/ 10 w 15"/>
              <a:gd name="T17" fmla="*/ 15 h 16"/>
              <a:gd name="T18" fmla="*/ 8 w 15"/>
              <a:gd name="T19" fmla="*/ 16 h 16"/>
              <a:gd name="T20" fmla="*/ 6 w 15"/>
              <a:gd name="T21" fmla="*/ 16 h 16"/>
              <a:gd name="T22" fmla="*/ 4 w 15"/>
              <a:gd name="T23" fmla="*/ 15 h 16"/>
              <a:gd name="T24" fmla="*/ 1 w 15"/>
              <a:gd name="T25" fmla="*/ 13 h 16"/>
              <a:gd name="T26" fmla="*/ 0 w 15"/>
              <a:gd name="T27" fmla="*/ 11 h 16"/>
              <a:gd name="T28" fmla="*/ 0 w 15"/>
              <a:gd name="T29" fmla="*/ 7 h 16"/>
              <a:gd name="T30" fmla="*/ 1 w 15"/>
              <a:gd name="T31" fmla="*/ 4 h 16"/>
              <a:gd name="T32" fmla="*/ 2 w 15"/>
              <a:gd name="T33" fmla="*/ 2 h 16"/>
              <a:gd name="T34" fmla="*/ 4 w 15"/>
              <a:gd name="T35" fmla="*/ 1 h 16"/>
              <a:gd name="T36" fmla="*/ 6 w 15"/>
              <a:gd name="T3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5" h="16">
                <a:moveTo>
                  <a:pt x="6" y="0"/>
                </a:moveTo>
                <a:lnTo>
                  <a:pt x="8" y="0"/>
                </a:lnTo>
                <a:lnTo>
                  <a:pt x="10" y="1"/>
                </a:lnTo>
                <a:lnTo>
                  <a:pt x="14" y="3"/>
                </a:lnTo>
                <a:lnTo>
                  <a:pt x="15" y="6"/>
                </a:lnTo>
                <a:lnTo>
                  <a:pt x="15" y="8"/>
                </a:lnTo>
                <a:lnTo>
                  <a:pt x="14" y="12"/>
                </a:lnTo>
                <a:lnTo>
                  <a:pt x="13" y="14"/>
                </a:lnTo>
                <a:lnTo>
                  <a:pt x="10" y="15"/>
                </a:lnTo>
                <a:lnTo>
                  <a:pt x="8" y="16"/>
                </a:lnTo>
                <a:lnTo>
                  <a:pt x="6" y="16"/>
                </a:lnTo>
                <a:lnTo>
                  <a:pt x="4" y="15"/>
                </a:lnTo>
                <a:lnTo>
                  <a:pt x="1" y="13"/>
                </a:lnTo>
                <a:lnTo>
                  <a:pt x="0" y="11"/>
                </a:lnTo>
                <a:lnTo>
                  <a:pt x="0" y="7"/>
                </a:lnTo>
                <a:lnTo>
                  <a:pt x="1" y="4"/>
                </a:lnTo>
                <a:lnTo>
                  <a:pt x="2" y="2"/>
                </a:lnTo>
                <a:lnTo>
                  <a:pt x="4" y="1"/>
                </a:lnTo>
                <a:lnTo>
                  <a:pt x="6" y="0"/>
                </a:lnTo>
                <a:close/>
              </a:path>
            </a:pathLst>
          </a:custGeom>
          <a:solidFill>
            <a:srgbClr val="FF8025"/>
          </a:solidFill>
          <a:ln w="0">
            <a:noFill/>
            <a:prstDash val="solid"/>
            <a:round/>
            <a:headEnd/>
            <a:tailEnd/>
          </a:ln>
        </xdr:spPr>
      </xdr:sp>
      <xdr:sp macro="" textlink="">
        <xdr:nvSpPr>
          <xdr:cNvPr id="26" name="Freeform 74"/>
          <xdr:cNvSpPr>
            <a:spLocks/>
          </xdr:cNvSpPr>
        </xdr:nvSpPr>
        <xdr:spPr bwMode="auto">
          <a:xfrm>
            <a:off x="181" y="88"/>
            <a:ext cx="25" cy="23"/>
          </a:xfrm>
          <a:custGeom>
            <a:avLst/>
            <a:gdLst>
              <a:gd name="T0" fmla="*/ 55 w 127"/>
              <a:gd name="T1" fmla="*/ 0 h 115"/>
              <a:gd name="T2" fmla="*/ 56 w 127"/>
              <a:gd name="T3" fmla="*/ 0 h 115"/>
              <a:gd name="T4" fmla="*/ 70 w 127"/>
              <a:gd name="T5" fmla="*/ 1 h 115"/>
              <a:gd name="T6" fmla="*/ 81 w 127"/>
              <a:gd name="T7" fmla="*/ 7 h 115"/>
              <a:gd name="T8" fmla="*/ 91 w 127"/>
              <a:gd name="T9" fmla="*/ 15 h 115"/>
              <a:gd name="T10" fmla="*/ 100 w 127"/>
              <a:gd name="T11" fmla="*/ 24 h 115"/>
              <a:gd name="T12" fmla="*/ 106 w 127"/>
              <a:gd name="T13" fmla="*/ 35 h 115"/>
              <a:gd name="T14" fmla="*/ 124 w 127"/>
              <a:gd name="T15" fmla="*/ 75 h 115"/>
              <a:gd name="T16" fmla="*/ 127 w 127"/>
              <a:gd name="T17" fmla="*/ 85 h 115"/>
              <a:gd name="T18" fmla="*/ 126 w 127"/>
              <a:gd name="T19" fmla="*/ 92 h 115"/>
              <a:gd name="T20" fmla="*/ 123 w 127"/>
              <a:gd name="T21" fmla="*/ 98 h 115"/>
              <a:gd name="T22" fmla="*/ 118 w 127"/>
              <a:gd name="T23" fmla="*/ 101 h 115"/>
              <a:gd name="T24" fmla="*/ 113 w 127"/>
              <a:gd name="T25" fmla="*/ 104 h 115"/>
              <a:gd name="T26" fmla="*/ 107 w 127"/>
              <a:gd name="T27" fmla="*/ 106 h 115"/>
              <a:gd name="T28" fmla="*/ 63 w 127"/>
              <a:gd name="T29" fmla="*/ 114 h 115"/>
              <a:gd name="T30" fmla="*/ 57 w 127"/>
              <a:gd name="T31" fmla="*/ 115 h 115"/>
              <a:gd name="T32" fmla="*/ 52 w 127"/>
              <a:gd name="T33" fmla="*/ 115 h 115"/>
              <a:gd name="T34" fmla="*/ 38 w 127"/>
              <a:gd name="T35" fmla="*/ 113 h 115"/>
              <a:gd name="T36" fmla="*/ 26 w 127"/>
              <a:gd name="T37" fmla="*/ 109 h 115"/>
              <a:gd name="T38" fmla="*/ 14 w 127"/>
              <a:gd name="T39" fmla="*/ 100 h 115"/>
              <a:gd name="T40" fmla="*/ 4 w 127"/>
              <a:gd name="T41" fmla="*/ 87 h 115"/>
              <a:gd name="T42" fmla="*/ 0 w 127"/>
              <a:gd name="T43" fmla="*/ 71 h 115"/>
              <a:gd name="T44" fmla="*/ 0 w 127"/>
              <a:gd name="T45" fmla="*/ 52 h 115"/>
              <a:gd name="T46" fmla="*/ 8 w 127"/>
              <a:gd name="T47" fmla="*/ 33 h 115"/>
              <a:gd name="T48" fmla="*/ 13 w 127"/>
              <a:gd name="T49" fmla="*/ 24 h 115"/>
              <a:gd name="T50" fmla="*/ 20 w 127"/>
              <a:gd name="T51" fmla="*/ 17 h 115"/>
              <a:gd name="T52" fmla="*/ 30 w 127"/>
              <a:gd name="T53" fmla="*/ 8 h 115"/>
              <a:gd name="T54" fmla="*/ 42 w 127"/>
              <a:gd name="T55" fmla="*/ 2 h 115"/>
              <a:gd name="T56" fmla="*/ 55 w 127"/>
              <a:gd name="T57" fmla="*/ 0 h 1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27" h="115">
                <a:moveTo>
                  <a:pt x="55" y="0"/>
                </a:moveTo>
                <a:lnTo>
                  <a:pt x="56" y="0"/>
                </a:lnTo>
                <a:lnTo>
                  <a:pt x="70" y="1"/>
                </a:lnTo>
                <a:lnTo>
                  <a:pt x="81" y="7"/>
                </a:lnTo>
                <a:lnTo>
                  <a:pt x="91" y="15"/>
                </a:lnTo>
                <a:lnTo>
                  <a:pt x="100" y="24"/>
                </a:lnTo>
                <a:lnTo>
                  <a:pt x="106" y="35"/>
                </a:lnTo>
                <a:lnTo>
                  <a:pt x="124" y="75"/>
                </a:lnTo>
                <a:lnTo>
                  <a:pt x="127" y="85"/>
                </a:lnTo>
                <a:lnTo>
                  <a:pt x="126" y="92"/>
                </a:lnTo>
                <a:lnTo>
                  <a:pt x="123" y="98"/>
                </a:lnTo>
                <a:lnTo>
                  <a:pt x="118" y="101"/>
                </a:lnTo>
                <a:lnTo>
                  <a:pt x="113" y="104"/>
                </a:lnTo>
                <a:lnTo>
                  <a:pt x="107" y="106"/>
                </a:lnTo>
                <a:lnTo>
                  <a:pt x="63" y="114"/>
                </a:lnTo>
                <a:lnTo>
                  <a:pt x="57" y="115"/>
                </a:lnTo>
                <a:lnTo>
                  <a:pt x="52" y="115"/>
                </a:lnTo>
                <a:lnTo>
                  <a:pt x="38" y="113"/>
                </a:lnTo>
                <a:lnTo>
                  <a:pt x="26" y="109"/>
                </a:lnTo>
                <a:lnTo>
                  <a:pt x="14" y="100"/>
                </a:lnTo>
                <a:lnTo>
                  <a:pt x="4" y="87"/>
                </a:lnTo>
                <a:lnTo>
                  <a:pt x="0" y="71"/>
                </a:lnTo>
                <a:lnTo>
                  <a:pt x="0" y="52"/>
                </a:lnTo>
                <a:lnTo>
                  <a:pt x="8" y="33"/>
                </a:lnTo>
                <a:lnTo>
                  <a:pt x="13" y="24"/>
                </a:lnTo>
                <a:lnTo>
                  <a:pt x="20" y="17"/>
                </a:lnTo>
                <a:lnTo>
                  <a:pt x="30" y="8"/>
                </a:lnTo>
                <a:lnTo>
                  <a:pt x="42" y="2"/>
                </a:lnTo>
                <a:lnTo>
                  <a:pt x="55" y="0"/>
                </a:lnTo>
                <a:close/>
              </a:path>
            </a:pathLst>
          </a:custGeom>
          <a:solidFill>
            <a:schemeClr val="accent2"/>
          </a:solidFill>
          <a:ln w="0">
            <a:solidFill>
              <a:schemeClr val="accent2"/>
            </a:solidFill>
            <a:prstDash val="solid"/>
            <a:round/>
            <a:headEnd/>
            <a:tailEnd/>
          </a:ln>
        </xdr:spPr>
      </xdr:sp>
      <xdr:sp macro="" textlink="">
        <xdr:nvSpPr>
          <xdr:cNvPr id="27" name="Freeform 75"/>
          <xdr:cNvSpPr>
            <a:spLocks/>
          </xdr:cNvSpPr>
        </xdr:nvSpPr>
        <xdr:spPr bwMode="auto">
          <a:xfrm>
            <a:off x="211" y="107"/>
            <a:ext cx="26" cy="23"/>
          </a:xfrm>
          <a:custGeom>
            <a:avLst/>
            <a:gdLst>
              <a:gd name="T0" fmla="*/ 75 w 128"/>
              <a:gd name="T1" fmla="*/ 0 h 115"/>
              <a:gd name="T2" fmla="*/ 88 w 128"/>
              <a:gd name="T3" fmla="*/ 2 h 115"/>
              <a:gd name="T4" fmla="*/ 101 w 128"/>
              <a:gd name="T5" fmla="*/ 6 h 115"/>
              <a:gd name="T6" fmla="*/ 112 w 128"/>
              <a:gd name="T7" fmla="*/ 15 h 115"/>
              <a:gd name="T8" fmla="*/ 123 w 128"/>
              <a:gd name="T9" fmla="*/ 28 h 115"/>
              <a:gd name="T10" fmla="*/ 128 w 128"/>
              <a:gd name="T11" fmla="*/ 44 h 115"/>
              <a:gd name="T12" fmla="*/ 127 w 128"/>
              <a:gd name="T13" fmla="*/ 63 h 115"/>
              <a:gd name="T14" fmla="*/ 120 w 128"/>
              <a:gd name="T15" fmla="*/ 82 h 115"/>
              <a:gd name="T16" fmla="*/ 113 w 128"/>
              <a:gd name="T17" fmla="*/ 91 h 115"/>
              <a:gd name="T18" fmla="*/ 108 w 128"/>
              <a:gd name="T19" fmla="*/ 98 h 115"/>
              <a:gd name="T20" fmla="*/ 97 w 128"/>
              <a:gd name="T21" fmla="*/ 107 h 115"/>
              <a:gd name="T22" fmla="*/ 84 w 128"/>
              <a:gd name="T23" fmla="*/ 114 h 115"/>
              <a:gd name="T24" fmla="*/ 72 w 128"/>
              <a:gd name="T25" fmla="*/ 115 h 115"/>
              <a:gd name="T26" fmla="*/ 71 w 128"/>
              <a:gd name="T27" fmla="*/ 115 h 115"/>
              <a:gd name="T28" fmla="*/ 58 w 128"/>
              <a:gd name="T29" fmla="*/ 114 h 115"/>
              <a:gd name="T30" fmla="*/ 46 w 128"/>
              <a:gd name="T31" fmla="*/ 108 h 115"/>
              <a:gd name="T32" fmla="*/ 34 w 128"/>
              <a:gd name="T33" fmla="*/ 100 h 115"/>
              <a:gd name="T34" fmla="*/ 27 w 128"/>
              <a:gd name="T35" fmla="*/ 91 h 115"/>
              <a:gd name="T36" fmla="*/ 21 w 128"/>
              <a:gd name="T37" fmla="*/ 80 h 115"/>
              <a:gd name="T38" fmla="*/ 3 w 128"/>
              <a:gd name="T39" fmla="*/ 40 h 115"/>
              <a:gd name="T40" fmla="*/ 0 w 128"/>
              <a:gd name="T41" fmla="*/ 30 h 115"/>
              <a:gd name="T42" fmla="*/ 1 w 128"/>
              <a:gd name="T43" fmla="*/ 22 h 115"/>
              <a:gd name="T44" fmla="*/ 4 w 128"/>
              <a:gd name="T45" fmla="*/ 16 h 115"/>
              <a:gd name="T46" fmla="*/ 8 w 128"/>
              <a:gd name="T47" fmla="*/ 13 h 115"/>
              <a:gd name="T48" fmla="*/ 13 w 128"/>
              <a:gd name="T49" fmla="*/ 10 h 115"/>
              <a:gd name="T50" fmla="*/ 20 w 128"/>
              <a:gd name="T51" fmla="*/ 9 h 115"/>
              <a:gd name="T52" fmla="*/ 63 w 128"/>
              <a:gd name="T53" fmla="*/ 1 h 115"/>
              <a:gd name="T54" fmla="*/ 69 w 128"/>
              <a:gd name="T55" fmla="*/ 0 h 115"/>
              <a:gd name="T56" fmla="*/ 75 w 128"/>
              <a:gd name="T57" fmla="*/ 0 h 1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28" h="115">
                <a:moveTo>
                  <a:pt x="75" y="0"/>
                </a:moveTo>
                <a:lnTo>
                  <a:pt x="88" y="2"/>
                </a:lnTo>
                <a:lnTo>
                  <a:pt x="101" y="6"/>
                </a:lnTo>
                <a:lnTo>
                  <a:pt x="112" y="15"/>
                </a:lnTo>
                <a:lnTo>
                  <a:pt x="123" y="28"/>
                </a:lnTo>
                <a:lnTo>
                  <a:pt x="128" y="44"/>
                </a:lnTo>
                <a:lnTo>
                  <a:pt x="127" y="63"/>
                </a:lnTo>
                <a:lnTo>
                  <a:pt x="120" y="82"/>
                </a:lnTo>
                <a:lnTo>
                  <a:pt x="113" y="91"/>
                </a:lnTo>
                <a:lnTo>
                  <a:pt x="108" y="98"/>
                </a:lnTo>
                <a:lnTo>
                  <a:pt x="97" y="107"/>
                </a:lnTo>
                <a:lnTo>
                  <a:pt x="84" y="114"/>
                </a:lnTo>
                <a:lnTo>
                  <a:pt x="72" y="115"/>
                </a:lnTo>
                <a:lnTo>
                  <a:pt x="71" y="115"/>
                </a:lnTo>
                <a:lnTo>
                  <a:pt x="58" y="114"/>
                </a:lnTo>
                <a:lnTo>
                  <a:pt x="46" y="108"/>
                </a:lnTo>
                <a:lnTo>
                  <a:pt x="34" y="100"/>
                </a:lnTo>
                <a:lnTo>
                  <a:pt x="27" y="91"/>
                </a:lnTo>
                <a:lnTo>
                  <a:pt x="21" y="80"/>
                </a:lnTo>
                <a:lnTo>
                  <a:pt x="3" y="40"/>
                </a:lnTo>
                <a:lnTo>
                  <a:pt x="0" y="30"/>
                </a:lnTo>
                <a:lnTo>
                  <a:pt x="1" y="22"/>
                </a:lnTo>
                <a:lnTo>
                  <a:pt x="4" y="16"/>
                </a:lnTo>
                <a:lnTo>
                  <a:pt x="8" y="13"/>
                </a:lnTo>
                <a:lnTo>
                  <a:pt x="13" y="10"/>
                </a:lnTo>
                <a:lnTo>
                  <a:pt x="20" y="9"/>
                </a:lnTo>
                <a:lnTo>
                  <a:pt x="63" y="1"/>
                </a:lnTo>
                <a:lnTo>
                  <a:pt x="69" y="0"/>
                </a:lnTo>
                <a:lnTo>
                  <a:pt x="75" y="0"/>
                </a:lnTo>
                <a:close/>
              </a:path>
            </a:pathLst>
          </a:custGeom>
          <a:solidFill>
            <a:schemeClr val="accent2"/>
          </a:solidFill>
          <a:ln w="0">
            <a:solidFill>
              <a:schemeClr val="accent2"/>
            </a:solidFill>
            <a:prstDash val="solid"/>
            <a:round/>
            <a:headEnd/>
            <a:tailEnd/>
          </a:ln>
        </xdr:spPr>
      </xdr:sp>
      <xdr:sp macro="" textlink="">
        <xdr:nvSpPr>
          <xdr:cNvPr id="28" name="Freeform 76"/>
          <xdr:cNvSpPr>
            <a:spLocks noEditPoints="1"/>
          </xdr:cNvSpPr>
        </xdr:nvSpPr>
        <xdr:spPr bwMode="auto">
          <a:xfrm>
            <a:off x="119" y="32"/>
            <a:ext cx="80" cy="54"/>
          </a:xfrm>
          <a:custGeom>
            <a:avLst/>
            <a:gdLst>
              <a:gd name="T0" fmla="*/ 184 w 400"/>
              <a:gd name="T1" fmla="*/ 26 h 270"/>
              <a:gd name="T2" fmla="*/ 162 w 400"/>
              <a:gd name="T3" fmla="*/ 42 h 270"/>
              <a:gd name="T4" fmla="*/ 155 w 400"/>
              <a:gd name="T5" fmla="*/ 68 h 270"/>
              <a:gd name="T6" fmla="*/ 163 w 400"/>
              <a:gd name="T7" fmla="*/ 94 h 270"/>
              <a:gd name="T8" fmla="*/ 185 w 400"/>
              <a:gd name="T9" fmla="*/ 109 h 270"/>
              <a:gd name="T10" fmla="*/ 213 w 400"/>
              <a:gd name="T11" fmla="*/ 109 h 270"/>
              <a:gd name="T12" fmla="*/ 234 w 400"/>
              <a:gd name="T13" fmla="*/ 93 h 270"/>
              <a:gd name="T14" fmla="*/ 242 w 400"/>
              <a:gd name="T15" fmla="*/ 67 h 270"/>
              <a:gd name="T16" fmla="*/ 234 w 400"/>
              <a:gd name="T17" fmla="*/ 41 h 270"/>
              <a:gd name="T18" fmla="*/ 212 w 400"/>
              <a:gd name="T19" fmla="*/ 25 h 270"/>
              <a:gd name="T20" fmla="*/ 0 w 400"/>
              <a:gd name="T21" fmla="*/ 0 h 270"/>
              <a:gd name="T22" fmla="*/ 385 w 400"/>
              <a:gd name="T23" fmla="*/ 25 h 270"/>
              <a:gd name="T24" fmla="*/ 360 w 400"/>
              <a:gd name="T25" fmla="*/ 65 h 270"/>
              <a:gd name="T26" fmla="*/ 382 w 400"/>
              <a:gd name="T27" fmla="*/ 94 h 270"/>
              <a:gd name="T28" fmla="*/ 396 w 400"/>
              <a:gd name="T29" fmla="*/ 131 h 270"/>
              <a:gd name="T30" fmla="*/ 400 w 400"/>
              <a:gd name="T31" fmla="*/ 170 h 270"/>
              <a:gd name="T32" fmla="*/ 399 w 400"/>
              <a:gd name="T33" fmla="*/ 174 h 270"/>
              <a:gd name="T34" fmla="*/ 399 w 400"/>
              <a:gd name="T35" fmla="*/ 178 h 270"/>
              <a:gd name="T36" fmla="*/ 396 w 400"/>
              <a:gd name="T37" fmla="*/ 182 h 270"/>
              <a:gd name="T38" fmla="*/ 390 w 400"/>
              <a:gd name="T39" fmla="*/ 186 h 270"/>
              <a:gd name="T40" fmla="*/ 370 w 400"/>
              <a:gd name="T41" fmla="*/ 197 h 270"/>
              <a:gd name="T42" fmla="*/ 333 w 400"/>
              <a:gd name="T43" fmla="*/ 207 h 270"/>
              <a:gd name="T44" fmla="*/ 297 w 400"/>
              <a:gd name="T45" fmla="*/ 208 h 270"/>
              <a:gd name="T46" fmla="*/ 271 w 400"/>
              <a:gd name="T47" fmla="*/ 230 h 270"/>
              <a:gd name="T48" fmla="*/ 242 w 400"/>
              <a:gd name="T49" fmla="*/ 270 h 270"/>
              <a:gd name="T50" fmla="*/ 242 w 400"/>
              <a:gd name="T51" fmla="*/ 267 h 270"/>
              <a:gd name="T52" fmla="*/ 242 w 400"/>
              <a:gd name="T53" fmla="*/ 258 h 270"/>
              <a:gd name="T54" fmla="*/ 237 w 400"/>
              <a:gd name="T55" fmla="*/ 247 h 270"/>
              <a:gd name="T56" fmla="*/ 237 w 400"/>
              <a:gd name="T57" fmla="*/ 224 h 270"/>
              <a:gd name="T58" fmla="*/ 240 w 400"/>
              <a:gd name="T59" fmla="*/ 209 h 270"/>
              <a:gd name="T60" fmla="*/ 240 w 400"/>
              <a:gd name="T61" fmla="*/ 203 h 270"/>
              <a:gd name="T62" fmla="*/ 238 w 400"/>
              <a:gd name="T63" fmla="*/ 183 h 270"/>
              <a:gd name="T64" fmla="*/ 229 w 400"/>
              <a:gd name="T65" fmla="*/ 170 h 270"/>
              <a:gd name="T66" fmla="*/ 214 w 400"/>
              <a:gd name="T67" fmla="*/ 172 h 270"/>
              <a:gd name="T68" fmla="*/ 199 w 400"/>
              <a:gd name="T69" fmla="*/ 180 h 270"/>
              <a:gd name="T70" fmla="*/ 180 w 400"/>
              <a:gd name="T71" fmla="*/ 196 h 270"/>
              <a:gd name="T72" fmla="*/ 154 w 400"/>
              <a:gd name="T73" fmla="*/ 226 h 270"/>
              <a:gd name="T74" fmla="*/ 130 w 400"/>
              <a:gd name="T75" fmla="*/ 230 h 270"/>
              <a:gd name="T76" fmla="*/ 97 w 400"/>
              <a:gd name="T77" fmla="*/ 212 h 270"/>
              <a:gd name="T78" fmla="*/ 53 w 400"/>
              <a:gd name="T79" fmla="*/ 208 h 270"/>
              <a:gd name="T80" fmla="*/ 16 w 400"/>
              <a:gd name="T81" fmla="*/ 195 h 270"/>
              <a:gd name="T82" fmla="*/ 1 w 400"/>
              <a:gd name="T83" fmla="*/ 180 h 270"/>
              <a:gd name="T84" fmla="*/ 0 w 400"/>
              <a:gd name="T85" fmla="*/ 161 h 270"/>
              <a:gd name="T86" fmla="*/ 8 w 400"/>
              <a:gd name="T87" fmla="*/ 120 h 270"/>
              <a:gd name="T88" fmla="*/ 19 w 400"/>
              <a:gd name="T89" fmla="*/ 104 h 270"/>
              <a:gd name="T90" fmla="*/ 30 w 400"/>
              <a:gd name="T91" fmla="*/ 105 h 270"/>
              <a:gd name="T92" fmla="*/ 55 w 400"/>
              <a:gd name="T93" fmla="*/ 95 h 270"/>
              <a:gd name="T94" fmla="*/ 65 w 400"/>
              <a:gd name="T95" fmla="*/ 70 h 270"/>
              <a:gd name="T96" fmla="*/ 55 w 400"/>
              <a:gd name="T97" fmla="*/ 46 h 270"/>
              <a:gd name="T98" fmla="*/ 30 w 400"/>
              <a:gd name="T99" fmla="*/ 36 h 270"/>
              <a:gd name="T100" fmla="*/ 19 w 400"/>
              <a:gd name="T101" fmla="*/ 37 h 270"/>
              <a:gd name="T102" fmla="*/ 6 w 400"/>
              <a:gd name="T103" fmla="*/ 21 h 2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00" h="270">
                <a:moveTo>
                  <a:pt x="197" y="23"/>
                </a:moveTo>
                <a:lnTo>
                  <a:pt x="184" y="26"/>
                </a:lnTo>
                <a:lnTo>
                  <a:pt x="171" y="32"/>
                </a:lnTo>
                <a:lnTo>
                  <a:pt x="162" y="42"/>
                </a:lnTo>
                <a:lnTo>
                  <a:pt x="156" y="54"/>
                </a:lnTo>
                <a:lnTo>
                  <a:pt x="155" y="68"/>
                </a:lnTo>
                <a:lnTo>
                  <a:pt x="157" y="82"/>
                </a:lnTo>
                <a:lnTo>
                  <a:pt x="163" y="94"/>
                </a:lnTo>
                <a:lnTo>
                  <a:pt x="172" y="103"/>
                </a:lnTo>
                <a:lnTo>
                  <a:pt x="185" y="109"/>
                </a:lnTo>
                <a:lnTo>
                  <a:pt x="199" y="112"/>
                </a:lnTo>
                <a:lnTo>
                  <a:pt x="213" y="109"/>
                </a:lnTo>
                <a:lnTo>
                  <a:pt x="224" y="102"/>
                </a:lnTo>
                <a:lnTo>
                  <a:pt x="234" y="93"/>
                </a:lnTo>
                <a:lnTo>
                  <a:pt x="240" y="80"/>
                </a:lnTo>
                <a:lnTo>
                  <a:pt x="242" y="67"/>
                </a:lnTo>
                <a:lnTo>
                  <a:pt x="240" y="53"/>
                </a:lnTo>
                <a:lnTo>
                  <a:pt x="234" y="41"/>
                </a:lnTo>
                <a:lnTo>
                  <a:pt x="223" y="31"/>
                </a:lnTo>
                <a:lnTo>
                  <a:pt x="212" y="25"/>
                </a:lnTo>
                <a:lnTo>
                  <a:pt x="197" y="23"/>
                </a:lnTo>
                <a:close/>
                <a:moveTo>
                  <a:pt x="0" y="0"/>
                </a:moveTo>
                <a:lnTo>
                  <a:pt x="393" y="0"/>
                </a:lnTo>
                <a:lnTo>
                  <a:pt x="385" y="25"/>
                </a:lnTo>
                <a:lnTo>
                  <a:pt x="374" y="46"/>
                </a:lnTo>
                <a:lnTo>
                  <a:pt x="360" y="65"/>
                </a:lnTo>
                <a:lnTo>
                  <a:pt x="371" y="78"/>
                </a:lnTo>
                <a:lnTo>
                  <a:pt x="382" y="94"/>
                </a:lnTo>
                <a:lnTo>
                  <a:pt x="390" y="112"/>
                </a:lnTo>
                <a:lnTo>
                  <a:pt x="396" y="131"/>
                </a:lnTo>
                <a:lnTo>
                  <a:pt x="399" y="153"/>
                </a:lnTo>
                <a:lnTo>
                  <a:pt x="400" y="170"/>
                </a:lnTo>
                <a:lnTo>
                  <a:pt x="399" y="172"/>
                </a:lnTo>
                <a:lnTo>
                  <a:pt x="399" y="174"/>
                </a:lnTo>
                <a:lnTo>
                  <a:pt x="399" y="176"/>
                </a:lnTo>
                <a:lnTo>
                  <a:pt x="399" y="178"/>
                </a:lnTo>
                <a:lnTo>
                  <a:pt x="398" y="180"/>
                </a:lnTo>
                <a:lnTo>
                  <a:pt x="396" y="182"/>
                </a:lnTo>
                <a:lnTo>
                  <a:pt x="393" y="183"/>
                </a:lnTo>
                <a:lnTo>
                  <a:pt x="390" y="186"/>
                </a:lnTo>
                <a:lnTo>
                  <a:pt x="388" y="187"/>
                </a:lnTo>
                <a:lnTo>
                  <a:pt x="370" y="197"/>
                </a:lnTo>
                <a:lnTo>
                  <a:pt x="349" y="204"/>
                </a:lnTo>
                <a:lnTo>
                  <a:pt x="333" y="207"/>
                </a:lnTo>
                <a:lnTo>
                  <a:pt x="315" y="208"/>
                </a:lnTo>
                <a:lnTo>
                  <a:pt x="297" y="208"/>
                </a:lnTo>
                <a:lnTo>
                  <a:pt x="282" y="206"/>
                </a:lnTo>
                <a:lnTo>
                  <a:pt x="271" y="230"/>
                </a:lnTo>
                <a:lnTo>
                  <a:pt x="259" y="251"/>
                </a:lnTo>
                <a:lnTo>
                  <a:pt x="242" y="270"/>
                </a:lnTo>
                <a:lnTo>
                  <a:pt x="242" y="268"/>
                </a:lnTo>
                <a:lnTo>
                  <a:pt x="242" y="267"/>
                </a:lnTo>
                <a:lnTo>
                  <a:pt x="242" y="265"/>
                </a:lnTo>
                <a:lnTo>
                  <a:pt x="242" y="258"/>
                </a:lnTo>
                <a:lnTo>
                  <a:pt x="240" y="253"/>
                </a:lnTo>
                <a:lnTo>
                  <a:pt x="237" y="247"/>
                </a:lnTo>
                <a:lnTo>
                  <a:pt x="236" y="236"/>
                </a:lnTo>
                <a:lnTo>
                  <a:pt x="237" y="224"/>
                </a:lnTo>
                <a:lnTo>
                  <a:pt x="239" y="213"/>
                </a:lnTo>
                <a:lnTo>
                  <a:pt x="240" y="209"/>
                </a:lnTo>
                <a:lnTo>
                  <a:pt x="240" y="206"/>
                </a:lnTo>
                <a:lnTo>
                  <a:pt x="240" y="203"/>
                </a:lnTo>
                <a:lnTo>
                  <a:pt x="240" y="194"/>
                </a:lnTo>
                <a:lnTo>
                  <a:pt x="238" y="183"/>
                </a:lnTo>
                <a:lnTo>
                  <a:pt x="234" y="174"/>
                </a:lnTo>
                <a:lnTo>
                  <a:pt x="229" y="170"/>
                </a:lnTo>
                <a:lnTo>
                  <a:pt x="221" y="170"/>
                </a:lnTo>
                <a:lnTo>
                  <a:pt x="214" y="172"/>
                </a:lnTo>
                <a:lnTo>
                  <a:pt x="206" y="175"/>
                </a:lnTo>
                <a:lnTo>
                  <a:pt x="199" y="180"/>
                </a:lnTo>
                <a:lnTo>
                  <a:pt x="194" y="183"/>
                </a:lnTo>
                <a:lnTo>
                  <a:pt x="180" y="196"/>
                </a:lnTo>
                <a:lnTo>
                  <a:pt x="165" y="211"/>
                </a:lnTo>
                <a:lnTo>
                  <a:pt x="154" y="226"/>
                </a:lnTo>
                <a:lnTo>
                  <a:pt x="141" y="250"/>
                </a:lnTo>
                <a:lnTo>
                  <a:pt x="130" y="230"/>
                </a:lnTo>
                <a:lnTo>
                  <a:pt x="120" y="208"/>
                </a:lnTo>
                <a:lnTo>
                  <a:pt x="97" y="212"/>
                </a:lnTo>
                <a:lnTo>
                  <a:pt x="73" y="212"/>
                </a:lnTo>
                <a:lnTo>
                  <a:pt x="53" y="208"/>
                </a:lnTo>
                <a:lnTo>
                  <a:pt x="33" y="203"/>
                </a:lnTo>
                <a:lnTo>
                  <a:pt x="16" y="195"/>
                </a:lnTo>
                <a:lnTo>
                  <a:pt x="1" y="186"/>
                </a:lnTo>
                <a:lnTo>
                  <a:pt x="1" y="180"/>
                </a:lnTo>
                <a:lnTo>
                  <a:pt x="1" y="176"/>
                </a:lnTo>
                <a:lnTo>
                  <a:pt x="0" y="161"/>
                </a:lnTo>
                <a:lnTo>
                  <a:pt x="3" y="139"/>
                </a:lnTo>
                <a:lnTo>
                  <a:pt x="8" y="120"/>
                </a:lnTo>
                <a:lnTo>
                  <a:pt x="15" y="102"/>
                </a:lnTo>
                <a:lnTo>
                  <a:pt x="19" y="104"/>
                </a:lnTo>
                <a:lnTo>
                  <a:pt x="25" y="105"/>
                </a:lnTo>
                <a:lnTo>
                  <a:pt x="30" y="105"/>
                </a:lnTo>
                <a:lnTo>
                  <a:pt x="43" y="102"/>
                </a:lnTo>
                <a:lnTo>
                  <a:pt x="55" y="95"/>
                </a:lnTo>
                <a:lnTo>
                  <a:pt x="62" y="84"/>
                </a:lnTo>
                <a:lnTo>
                  <a:pt x="65" y="70"/>
                </a:lnTo>
                <a:lnTo>
                  <a:pt x="62" y="56"/>
                </a:lnTo>
                <a:lnTo>
                  <a:pt x="55" y="46"/>
                </a:lnTo>
                <a:lnTo>
                  <a:pt x="43" y="38"/>
                </a:lnTo>
                <a:lnTo>
                  <a:pt x="30" y="36"/>
                </a:lnTo>
                <a:lnTo>
                  <a:pt x="25" y="36"/>
                </a:lnTo>
                <a:lnTo>
                  <a:pt x="19" y="37"/>
                </a:lnTo>
                <a:lnTo>
                  <a:pt x="14" y="39"/>
                </a:lnTo>
                <a:lnTo>
                  <a:pt x="6" y="21"/>
                </a:lnTo>
                <a:lnTo>
                  <a:pt x="0" y="0"/>
                </a:lnTo>
                <a:close/>
              </a:path>
            </a:pathLst>
          </a:custGeom>
          <a:solidFill>
            <a:schemeClr val="accent4"/>
          </a:solidFill>
          <a:ln w="0">
            <a:solidFill>
              <a:schemeClr val="accent4"/>
            </a:solidFill>
            <a:prstDash val="solid"/>
            <a:round/>
            <a:headEnd/>
            <a:tailEnd/>
          </a:ln>
        </xdr:spPr>
      </xdr:sp>
      <xdr:sp macro="" textlink="">
        <xdr:nvSpPr>
          <xdr:cNvPr id="29" name="Freeform 77"/>
          <xdr:cNvSpPr>
            <a:spLocks noEditPoints="1"/>
          </xdr:cNvSpPr>
        </xdr:nvSpPr>
        <xdr:spPr bwMode="auto">
          <a:xfrm>
            <a:off x="508" y="32"/>
            <a:ext cx="68" cy="57"/>
          </a:xfrm>
          <a:custGeom>
            <a:avLst/>
            <a:gdLst>
              <a:gd name="T0" fmla="*/ 160 w 344"/>
              <a:gd name="T1" fmla="*/ 49 h 281"/>
              <a:gd name="T2" fmla="*/ 137 w 344"/>
              <a:gd name="T3" fmla="*/ 70 h 281"/>
              <a:gd name="T4" fmla="*/ 131 w 344"/>
              <a:gd name="T5" fmla="*/ 101 h 281"/>
              <a:gd name="T6" fmla="*/ 143 w 344"/>
              <a:gd name="T7" fmla="*/ 128 h 281"/>
              <a:gd name="T8" fmla="*/ 170 w 344"/>
              <a:gd name="T9" fmla="*/ 144 h 281"/>
              <a:gd name="T10" fmla="*/ 202 w 344"/>
              <a:gd name="T11" fmla="*/ 141 h 281"/>
              <a:gd name="T12" fmla="*/ 224 w 344"/>
              <a:gd name="T13" fmla="*/ 120 h 281"/>
              <a:gd name="T14" fmla="*/ 231 w 344"/>
              <a:gd name="T15" fmla="*/ 89 h 281"/>
              <a:gd name="T16" fmla="*/ 218 w 344"/>
              <a:gd name="T17" fmla="*/ 61 h 281"/>
              <a:gd name="T18" fmla="*/ 191 w 344"/>
              <a:gd name="T19" fmla="*/ 45 h 281"/>
              <a:gd name="T20" fmla="*/ 32 w 344"/>
              <a:gd name="T21" fmla="*/ 0 h 281"/>
              <a:gd name="T22" fmla="*/ 315 w 344"/>
              <a:gd name="T23" fmla="*/ 2 h 281"/>
              <a:gd name="T24" fmla="*/ 311 w 344"/>
              <a:gd name="T25" fmla="*/ 25 h 281"/>
              <a:gd name="T26" fmla="*/ 330 w 344"/>
              <a:gd name="T27" fmla="*/ 68 h 281"/>
              <a:gd name="T28" fmla="*/ 335 w 344"/>
              <a:gd name="T29" fmla="*/ 100 h 281"/>
              <a:gd name="T30" fmla="*/ 312 w 344"/>
              <a:gd name="T31" fmla="*/ 122 h 281"/>
              <a:gd name="T32" fmla="*/ 292 w 344"/>
              <a:gd name="T33" fmla="*/ 142 h 281"/>
              <a:gd name="T34" fmla="*/ 250 w 344"/>
              <a:gd name="T35" fmla="*/ 174 h 281"/>
              <a:gd name="T36" fmla="*/ 299 w 344"/>
              <a:gd name="T37" fmla="*/ 201 h 281"/>
              <a:gd name="T38" fmla="*/ 325 w 344"/>
              <a:gd name="T39" fmla="*/ 215 h 281"/>
              <a:gd name="T40" fmla="*/ 324 w 344"/>
              <a:gd name="T41" fmla="*/ 218 h 281"/>
              <a:gd name="T42" fmla="*/ 323 w 344"/>
              <a:gd name="T43" fmla="*/ 221 h 281"/>
              <a:gd name="T44" fmla="*/ 319 w 344"/>
              <a:gd name="T45" fmla="*/ 224 h 281"/>
              <a:gd name="T46" fmla="*/ 313 w 344"/>
              <a:gd name="T47" fmla="*/ 226 h 281"/>
              <a:gd name="T48" fmla="*/ 279 w 344"/>
              <a:gd name="T49" fmla="*/ 232 h 281"/>
              <a:gd name="T50" fmla="*/ 240 w 344"/>
              <a:gd name="T51" fmla="*/ 228 h 281"/>
              <a:gd name="T52" fmla="*/ 208 w 344"/>
              <a:gd name="T53" fmla="*/ 244 h 281"/>
              <a:gd name="T54" fmla="*/ 167 w 344"/>
              <a:gd name="T55" fmla="*/ 274 h 281"/>
              <a:gd name="T56" fmla="*/ 142 w 344"/>
              <a:gd name="T57" fmla="*/ 281 h 281"/>
              <a:gd name="T58" fmla="*/ 108 w 344"/>
              <a:gd name="T59" fmla="*/ 245 h 281"/>
              <a:gd name="T60" fmla="*/ 91 w 344"/>
              <a:gd name="T61" fmla="*/ 195 h 281"/>
              <a:gd name="T62" fmla="*/ 54 w 344"/>
              <a:gd name="T63" fmla="*/ 190 h 281"/>
              <a:gd name="T64" fmla="*/ 22 w 344"/>
              <a:gd name="T65" fmla="*/ 175 h 281"/>
              <a:gd name="T66" fmla="*/ 0 w 344"/>
              <a:gd name="T67" fmla="*/ 154 h 281"/>
              <a:gd name="T68" fmla="*/ 1 w 344"/>
              <a:gd name="T69" fmla="*/ 147 h 281"/>
              <a:gd name="T70" fmla="*/ 11 w 344"/>
              <a:gd name="T71" fmla="*/ 113 h 281"/>
              <a:gd name="T72" fmla="*/ 35 w 344"/>
              <a:gd name="T73" fmla="*/ 80 h 281"/>
              <a:gd name="T74" fmla="*/ 41 w 344"/>
              <a:gd name="T75" fmla="*/ 53 h 281"/>
              <a:gd name="T76" fmla="*/ 33 w 344"/>
              <a:gd name="T77" fmla="*/ 19 h 2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344" h="281">
                <a:moveTo>
                  <a:pt x="174" y="45"/>
                </a:moveTo>
                <a:lnTo>
                  <a:pt x="160" y="49"/>
                </a:lnTo>
                <a:lnTo>
                  <a:pt x="146" y="57"/>
                </a:lnTo>
                <a:lnTo>
                  <a:pt x="137" y="70"/>
                </a:lnTo>
                <a:lnTo>
                  <a:pt x="131" y="84"/>
                </a:lnTo>
                <a:lnTo>
                  <a:pt x="131" y="101"/>
                </a:lnTo>
                <a:lnTo>
                  <a:pt x="135" y="116"/>
                </a:lnTo>
                <a:lnTo>
                  <a:pt x="143" y="128"/>
                </a:lnTo>
                <a:lnTo>
                  <a:pt x="156" y="139"/>
                </a:lnTo>
                <a:lnTo>
                  <a:pt x="170" y="144"/>
                </a:lnTo>
                <a:lnTo>
                  <a:pt x="187" y="145"/>
                </a:lnTo>
                <a:lnTo>
                  <a:pt x="202" y="141"/>
                </a:lnTo>
                <a:lnTo>
                  <a:pt x="215" y="132"/>
                </a:lnTo>
                <a:lnTo>
                  <a:pt x="224" y="120"/>
                </a:lnTo>
                <a:lnTo>
                  <a:pt x="231" y="105"/>
                </a:lnTo>
                <a:lnTo>
                  <a:pt x="231" y="89"/>
                </a:lnTo>
                <a:lnTo>
                  <a:pt x="227" y="74"/>
                </a:lnTo>
                <a:lnTo>
                  <a:pt x="218" y="61"/>
                </a:lnTo>
                <a:lnTo>
                  <a:pt x="206" y="51"/>
                </a:lnTo>
                <a:lnTo>
                  <a:pt x="191" y="45"/>
                </a:lnTo>
                <a:lnTo>
                  <a:pt x="174" y="45"/>
                </a:lnTo>
                <a:close/>
                <a:moveTo>
                  <a:pt x="32" y="0"/>
                </a:moveTo>
                <a:lnTo>
                  <a:pt x="308" y="0"/>
                </a:lnTo>
                <a:lnTo>
                  <a:pt x="315" y="2"/>
                </a:lnTo>
                <a:lnTo>
                  <a:pt x="308" y="2"/>
                </a:lnTo>
                <a:lnTo>
                  <a:pt x="311" y="25"/>
                </a:lnTo>
                <a:lnTo>
                  <a:pt x="318" y="47"/>
                </a:lnTo>
                <a:lnTo>
                  <a:pt x="330" y="68"/>
                </a:lnTo>
                <a:lnTo>
                  <a:pt x="344" y="87"/>
                </a:lnTo>
                <a:lnTo>
                  <a:pt x="335" y="100"/>
                </a:lnTo>
                <a:lnTo>
                  <a:pt x="324" y="112"/>
                </a:lnTo>
                <a:lnTo>
                  <a:pt x="312" y="122"/>
                </a:lnTo>
                <a:lnTo>
                  <a:pt x="317" y="131"/>
                </a:lnTo>
                <a:lnTo>
                  <a:pt x="292" y="142"/>
                </a:lnTo>
                <a:lnTo>
                  <a:pt x="270" y="156"/>
                </a:lnTo>
                <a:lnTo>
                  <a:pt x="250" y="174"/>
                </a:lnTo>
                <a:lnTo>
                  <a:pt x="273" y="190"/>
                </a:lnTo>
                <a:lnTo>
                  <a:pt x="299" y="201"/>
                </a:lnTo>
                <a:lnTo>
                  <a:pt x="328" y="206"/>
                </a:lnTo>
                <a:lnTo>
                  <a:pt x="325" y="215"/>
                </a:lnTo>
                <a:lnTo>
                  <a:pt x="325" y="216"/>
                </a:lnTo>
                <a:lnTo>
                  <a:pt x="324" y="218"/>
                </a:lnTo>
                <a:lnTo>
                  <a:pt x="324" y="220"/>
                </a:lnTo>
                <a:lnTo>
                  <a:pt x="323" y="221"/>
                </a:lnTo>
                <a:lnTo>
                  <a:pt x="322" y="223"/>
                </a:lnTo>
                <a:lnTo>
                  <a:pt x="319" y="224"/>
                </a:lnTo>
                <a:lnTo>
                  <a:pt x="316" y="225"/>
                </a:lnTo>
                <a:lnTo>
                  <a:pt x="313" y="226"/>
                </a:lnTo>
                <a:lnTo>
                  <a:pt x="296" y="230"/>
                </a:lnTo>
                <a:lnTo>
                  <a:pt x="279" y="232"/>
                </a:lnTo>
                <a:lnTo>
                  <a:pt x="260" y="232"/>
                </a:lnTo>
                <a:lnTo>
                  <a:pt x="240" y="228"/>
                </a:lnTo>
                <a:lnTo>
                  <a:pt x="223" y="222"/>
                </a:lnTo>
                <a:lnTo>
                  <a:pt x="208" y="244"/>
                </a:lnTo>
                <a:lnTo>
                  <a:pt x="189" y="262"/>
                </a:lnTo>
                <a:lnTo>
                  <a:pt x="167" y="274"/>
                </a:lnTo>
                <a:lnTo>
                  <a:pt x="142" y="281"/>
                </a:lnTo>
                <a:lnTo>
                  <a:pt x="142" y="281"/>
                </a:lnTo>
                <a:lnTo>
                  <a:pt x="122" y="265"/>
                </a:lnTo>
                <a:lnTo>
                  <a:pt x="108" y="245"/>
                </a:lnTo>
                <a:lnTo>
                  <a:pt x="97" y="221"/>
                </a:lnTo>
                <a:lnTo>
                  <a:pt x="91" y="195"/>
                </a:lnTo>
                <a:lnTo>
                  <a:pt x="72" y="194"/>
                </a:lnTo>
                <a:lnTo>
                  <a:pt x="54" y="190"/>
                </a:lnTo>
                <a:lnTo>
                  <a:pt x="37" y="183"/>
                </a:lnTo>
                <a:lnTo>
                  <a:pt x="22" y="175"/>
                </a:lnTo>
                <a:lnTo>
                  <a:pt x="10" y="165"/>
                </a:lnTo>
                <a:lnTo>
                  <a:pt x="0" y="154"/>
                </a:lnTo>
                <a:lnTo>
                  <a:pt x="0" y="151"/>
                </a:lnTo>
                <a:lnTo>
                  <a:pt x="1" y="147"/>
                </a:lnTo>
                <a:lnTo>
                  <a:pt x="3" y="134"/>
                </a:lnTo>
                <a:lnTo>
                  <a:pt x="11" y="113"/>
                </a:lnTo>
                <a:lnTo>
                  <a:pt x="21" y="95"/>
                </a:lnTo>
                <a:lnTo>
                  <a:pt x="35" y="80"/>
                </a:lnTo>
                <a:lnTo>
                  <a:pt x="49" y="68"/>
                </a:lnTo>
                <a:lnTo>
                  <a:pt x="41" y="53"/>
                </a:lnTo>
                <a:lnTo>
                  <a:pt x="36" y="37"/>
                </a:lnTo>
                <a:lnTo>
                  <a:pt x="33" y="19"/>
                </a:lnTo>
                <a:lnTo>
                  <a:pt x="32" y="0"/>
                </a:lnTo>
                <a:close/>
              </a:path>
            </a:pathLst>
          </a:custGeom>
          <a:solidFill>
            <a:schemeClr val="accent6"/>
          </a:solidFill>
          <a:ln w="0">
            <a:solidFill>
              <a:schemeClr val="accent6"/>
            </a:solidFill>
            <a:prstDash val="solid"/>
            <a:round/>
            <a:headEnd/>
            <a:tailEnd/>
          </a:ln>
        </xdr:spPr>
      </xdr:sp>
      <xdr:sp macro="" textlink="">
        <xdr:nvSpPr>
          <xdr:cNvPr id="30" name="Freeform 78"/>
          <xdr:cNvSpPr>
            <a:spLocks/>
          </xdr:cNvSpPr>
        </xdr:nvSpPr>
        <xdr:spPr bwMode="auto">
          <a:xfrm>
            <a:off x="25" y="32"/>
            <a:ext cx="101" cy="33"/>
          </a:xfrm>
          <a:custGeom>
            <a:avLst/>
            <a:gdLst>
              <a:gd name="T0" fmla="*/ 273 w 506"/>
              <a:gd name="T1" fmla="*/ 0 h 163"/>
              <a:gd name="T2" fmla="*/ 278 w 506"/>
              <a:gd name="T3" fmla="*/ 21 h 163"/>
              <a:gd name="T4" fmla="*/ 269 w 506"/>
              <a:gd name="T5" fmla="*/ 46 h 163"/>
              <a:gd name="T6" fmla="*/ 468 w 506"/>
              <a:gd name="T7" fmla="*/ 54 h 163"/>
              <a:gd name="T8" fmla="*/ 474 w 506"/>
              <a:gd name="T9" fmla="*/ 45 h 163"/>
              <a:gd name="T10" fmla="*/ 483 w 506"/>
              <a:gd name="T11" fmla="*/ 39 h 163"/>
              <a:gd name="T12" fmla="*/ 506 w 506"/>
              <a:gd name="T13" fmla="*/ 70 h 163"/>
              <a:gd name="T14" fmla="*/ 484 w 506"/>
              <a:gd name="T15" fmla="*/ 102 h 163"/>
              <a:gd name="T16" fmla="*/ 468 w 506"/>
              <a:gd name="T17" fmla="*/ 87 h 163"/>
              <a:gd name="T18" fmla="*/ 397 w 506"/>
              <a:gd name="T19" fmla="*/ 99 h 163"/>
              <a:gd name="T20" fmla="*/ 397 w 506"/>
              <a:gd name="T21" fmla="*/ 129 h 163"/>
              <a:gd name="T22" fmla="*/ 376 w 506"/>
              <a:gd name="T23" fmla="*/ 150 h 163"/>
              <a:gd name="T24" fmla="*/ 346 w 506"/>
              <a:gd name="T25" fmla="*/ 150 h 163"/>
              <a:gd name="T26" fmla="*/ 324 w 506"/>
              <a:gd name="T27" fmla="*/ 129 h 163"/>
              <a:gd name="T28" fmla="*/ 325 w 506"/>
              <a:gd name="T29" fmla="*/ 99 h 163"/>
              <a:gd name="T30" fmla="*/ 151 w 506"/>
              <a:gd name="T31" fmla="*/ 87 h 163"/>
              <a:gd name="T32" fmla="*/ 163 w 506"/>
              <a:gd name="T33" fmla="*/ 106 h 163"/>
              <a:gd name="T34" fmla="*/ 163 w 506"/>
              <a:gd name="T35" fmla="*/ 132 h 163"/>
              <a:gd name="T36" fmla="*/ 148 w 506"/>
              <a:gd name="T37" fmla="*/ 154 h 163"/>
              <a:gd name="T38" fmla="*/ 122 w 506"/>
              <a:gd name="T39" fmla="*/ 163 h 163"/>
              <a:gd name="T40" fmla="*/ 96 w 506"/>
              <a:gd name="T41" fmla="*/ 154 h 163"/>
              <a:gd name="T42" fmla="*/ 80 w 506"/>
              <a:gd name="T43" fmla="*/ 132 h 163"/>
              <a:gd name="T44" fmla="*/ 80 w 506"/>
              <a:gd name="T45" fmla="*/ 106 h 163"/>
              <a:gd name="T46" fmla="*/ 93 w 506"/>
              <a:gd name="T47" fmla="*/ 87 h 163"/>
              <a:gd name="T48" fmla="*/ 0 w 506"/>
              <a:gd name="T49" fmla="*/ 67 h 163"/>
              <a:gd name="T50" fmla="*/ 11 w 506"/>
              <a:gd name="T51" fmla="*/ 29 h 163"/>
              <a:gd name="T52" fmla="*/ 43 w 506"/>
              <a:gd name="T53" fmla="*/ 4 h 163"/>
              <a:gd name="T54" fmla="*/ 44 w 506"/>
              <a:gd name="T55" fmla="*/ 16 h 163"/>
              <a:gd name="T56" fmla="*/ 33 w 506"/>
              <a:gd name="T57" fmla="*/ 45 h 163"/>
              <a:gd name="T58" fmla="*/ 220 w 506"/>
              <a:gd name="T59" fmla="*/ 54 h 163"/>
              <a:gd name="T60" fmla="*/ 202 w 506"/>
              <a:gd name="T61" fmla="*/ 34 h 163"/>
              <a:gd name="T62" fmla="*/ 201 w 506"/>
              <a:gd name="T63" fmla="*/ 9 h 1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506" h="163">
                <a:moveTo>
                  <a:pt x="205" y="0"/>
                </a:moveTo>
                <a:lnTo>
                  <a:pt x="273" y="0"/>
                </a:lnTo>
                <a:lnTo>
                  <a:pt x="277" y="9"/>
                </a:lnTo>
                <a:lnTo>
                  <a:pt x="278" y="21"/>
                </a:lnTo>
                <a:lnTo>
                  <a:pt x="276" y="34"/>
                </a:lnTo>
                <a:lnTo>
                  <a:pt x="269" y="46"/>
                </a:lnTo>
                <a:lnTo>
                  <a:pt x="258" y="54"/>
                </a:lnTo>
                <a:lnTo>
                  <a:pt x="468" y="54"/>
                </a:lnTo>
                <a:lnTo>
                  <a:pt x="471" y="49"/>
                </a:lnTo>
                <a:lnTo>
                  <a:pt x="474" y="45"/>
                </a:lnTo>
                <a:lnTo>
                  <a:pt x="478" y="42"/>
                </a:lnTo>
                <a:lnTo>
                  <a:pt x="483" y="39"/>
                </a:lnTo>
                <a:lnTo>
                  <a:pt x="494" y="55"/>
                </a:lnTo>
                <a:lnTo>
                  <a:pt x="506" y="70"/>
                </a:lnTo>
                <a:lnTo>
                  <a:pt x="494" y="86"/>
                </a:lnTo>
                <a:lnTo>
                  <a:pt x="484" y="102"/>
                </a:lnTo>
                <a:lnTo>
                  <a:pt x="475" y="96"/>
                </a:lnTo>
                <a:lnTo>
                  <a:pt x="468" y="87"/>
                </a:lnTo>
                <a:lnTo>
                  <a:pt x="388" y="87"/>
                </a:lnTo>
                <a:lnTo>
                  <a:pt x="397" y="99"/>
                </a:lnTo>
                <a:lnTo>
                  <a:pt x="400" y="114"/>
                </a:lnTo>
                <a:lnTo>
                  <a:pt x="397" y="129"/>
                </a:lnTo>
                <a:lnTo>
                  <a:pt x="388" y="142"/>
                </a:lnTo>
                <a:lnTo>
                  <a:pt x="376" y="150"/>
                </a:lnTo>
                <a:lnTo>
                  <a:pt x="360" y="153"/>
                </a:lnTo>
                <a:lnTo>
                  <a:pt x="346" y="150"/>
                </a:lnTo>
                <a:lnTo>
                  <a:pt x="333" y="142"/>
                </a:lnTo>
                <a:lnTo>
                  <a:pt x="324" y="129"/>
                </a:lnTo>
                <a:lnTo>
                  <a:pt x="321" y="114"/>
                </a:lnTo>
                <a:lnTo>
                  <a:pt x="325" y="99"/>
                </a:lnTo>
                <a:lnTo>
                  <a:pt x="333" y="87"/>
                </a:lnTo>
                <a:lnTo>
                  <a:pt x="151" y="87"/>
                </a:lnTo>
                <a:lnTo>
                  <a:pt x="159" y="95"/>
                </a:lnTo>
                <a:lnTo>
                  <a:pt x="163" y="106"/>
                </a:lnTo>
                <a:lnTo>
                  <a:pt x="166" y="119"/>
                </a:lnTo>
                <a:lnTo>
                  <a:pt x="163" y="132"/>
                </a:lnTo>
                <a:lnTo>
                  <a:pt x="157" y="144"/>
                </a:lnTo>
                <a:lnTo>
                  <a:pt x="148" y="154"/>
                </a:lnTo>
                <a:lnTo>
                  <a:pt x="135" y="159"/>
                </a:lnTo>
                <a:lnTo>
                  <a:pt x="122" y="163"/>
                </a:lnTo>
                <a:lnTo>
                  <a:pt x="108" y="159"/>
                </a:lnTo>
                <a:lnTo>
                  <a:pt x="96" y="154"/>
                </a:lnTo>
                <a:lnTo>
                  <a:pt x="86" y="144"/>
                </a:lnTo>
                <a:lnTo>
                  <a:pt x="80" y="132"/>
                </a:lnTo>
                <a:lnTo>
                  <a:pt x="78" y="119"/>
                </a:lnTo>
                <a:lnTo>
                  <a:pt x="80" y="106"/>
                </a:lnTo>
                <a:lnTo>
                  <a:pt x="85" y="95"/>
                </a:lnTo>
                <a:lnTo>
                  <a:pt x="93" y="87"/>
                </a:lnTo>
                <a:lnTo>
                  <a:pt x="0" y="87"/>
                </a:lnTo>
                <a:lnTo>
                  <a:pt x="0" y="67"/>
                </a:lnTo>
                <a:lnTo>
                  <a:pt x="3" y="47"/>
                </a:lnTo>
                <a:lnTo>
                  <a:pt x="11" y="29"/>
                </a:lnTo>
                <a:lnTo>
                  <a:pt x="25" y="15"/>
                </a:lnTo>
                <a:lnTo>
                  <a:pt x="43" y="4"/>
                </a:lnTo>
                <a:lnTo>
                  <a:pt x="44" y="11"/>
                </a:lnTo>
                <a:lnTo>
                  <a:pt x="44" y="16"/>
                </a:lnTo>
                <a:lnTo>
                  <a:pt x="42" y="31"/>
                </a:lnTo>
                <a:lnTo>
                  <a:pt x="33" y="45"/>
                </a:lnTo>
                <a:lnTo>
                  <a:pt x="21" y="54"/>
                </a:lnTo>
                <a:lnTo>
                  <a:pt x="220" y="54"/>
                </a:lnTo>
                <a:lnTo>
                  <a:pt x="209" y="46"/>
                </a:lnTo>
                <a:lnTo>
                  <a:pt x="202" y="34"/>
                </a:lnTo>
                <a:lnTo>
                  <a:pt x="200" y="21"/>
                </a:lnTo>
                <a:lnTo>
                  <a:pt x="201" y="9"/>
                </a:lnTo>
                <a:lnTo>
                  <a:pt x="205" y="0"/>
                </a:lnTo>
                <a:close/>
              </a:path>
            </a:pathLst>
          </a:custGeom>
          <a:solidFill>
            <a:schemeClr val="accent3"/>
          </a:solidFill>
          <a:ln w="0">
            <a:solidFill>
              <a:schemeClr val="accent3"/>
            </a:solidFill>
            <a:prstDash val="solid"/>
            <a:round/>
            <a:headEnd/>
            <a:tailEnd/>
          </a:ln>
        </xdr:spPr>
      </xdr:sp>
      <xdr:sp macro="" textlink="">
        <xdr:nvSpPr>
          <xdr:cNvPr id="31" name="Freeform 79"/>
          <xdr:cNvSpPr>
            <a:spLocks/>
          </xdr:cNvSpPr>
        </xdr:nvSpPr>
        <xdr:spPr bwMode="auto">
          <a:xfrm>
            <a:off x="122" y="40"/>
            <a:ext cx="10" cy="13"/>
          </a:xfrm>
          <a:custGeom>
            <a:avLst/>
            <a:gdLst>
              <a:gd name="T0" fmla="*/ 16 w 51"/>
              <a:gd name="T1" fmla="*/ 0 h 69"/>
              <a:gd name="T2" fmla="*/ 29 w 51"/>
              <a:gd name="T3" fmla="*/ 2 h 69"/>
              <a:gd name="T4" fmla="*/ 41 w 51"/>
              <a:gd name="T5" fmla="*/ 10 h 69"/>
              <a:gd name="T6" fmla="*/ 48 w 51"/>
              <a:gd name="T7" fmla="*/ 20 h 69"/>
              <a:gd name="T8" fmla="*/ 51 w 51"/>
              <a:gd name="T9" fmla="*/ 34 h 69"/>
              <a:gd name="T10" fmla="*/ 48 w 51"/>
              <a:gd name="T11" fmla="*/ 48 h 69"/>
              <a:gd name="T12" fmla="*/ 41 w 51"/>
              <a:gd name="T13" fmla="*/ 59 h 69"/>
              <a:gd name="T14" fmla="*/ 29 w 51"/>
              <a:gd name="T15" fmla="*/ 66 h 69"/>
              <a:gd name="T16" fmla="*/ 16 w 51"/>
              <a:gd name="T17" fmla="*/ 69 h 69"/>
              <a:gd name="T18" fmla="*/ 11 w 51"/>
              <a:gd name="T19" fmla="*/ 69 h 69"/>
              <a:gd name="T20" fmla="*/ 5 w 51"/>
              <a:gd name="T21" fmla="*/ 68 h 69"/>
              <a:gd name="T22" fmla="*/ 1 w 51"/>
              <a:gd name="T23" fmla="*/ 66 h 69"/>
              <a:gd name="T24" fmla="*/ 11 w 51"/>
              <a:gd name="T25" fmla="*/ 50 h 69"/>
              <a:gd name="T26" fmla="*/ 23 w 51"/>
              <a:gd name="T27" fmla="*/ 34 h 69"/>
              <a:gd name="T28" fmla="*/ 11 w 51"/>
              <a:gd name="T29" fmla="*/ 19 h 69"/>
              <a:gd name="T30" fmla="*/ 0 w 51"/>
              <a:gd name="T31" fmla="*/ 3 h 69"/>
              <a:gd name="T32" fmla="*/ 5 w 51"/>
              <a:gd name="T33" fmla="*/ 1 h 69"/>
              <a:gd name="T34" fmla="*/ 11 w 51"/>
              <a:gd name="T35" fmla="*/ 0 h 69"/>
              <a:gd name="T36" fmla="*/ 16 w 51"/>
              <a:gd name="T37" fmla="*/ 0 h 6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51" h="69">
                <a:moveTo>
                  <a:pt x="16" y="0"/>
                </a:moveTo>
                <a:lnTo>
                  <a:pt x="29" y="2"/>
                </a:lnTo>
                <a:lnTo>
                  <a:pt x="41" y="10"/>
                </a:lnTo>
                <a:lnTo>
                  <a:pt x="48" y="20"/>
                </a:lnTo>
                <a:lnTo>
                  <a:pt x="51" y="34"/>
                </a:lnTo>
                <a:lnTo>
                  <a:pt x="48" y="48"/>
                </a:lnTo>
                <a:lnTo>
                  <a:pt x="41" y="59"/>
                </a:lnTo>
                <a:lnTo>
                  <a:pt x="29" y="66"/>
                </a:lnTo>
                <a:lnTo>
                  <a:pt x="16" y="69"/>
                </a:lnTo>
                <a:lnTo>
                  <a:pt x="11" y="69"/>
                </a:lnTo>
                <a:lnTo>
                  <a:pt x="5" y="68"/>
                </a:lnTo>
                <a:lnTo>
                  <a:pt x="1" y="66"/>
                </a:lnTo>
                <a:lnTo>
                  <a:pt x="11" y="50"/>
                </a:lnTo>
                <a:lnTo>
                  <a:pt x="23" y="34"/>
                </a:lnTo>
                <a:lnTo>
                  <a:pt x="11" y="19"/>
                </a:lnTo>
                <a:lnTo>
                  <a:pt x="0" y="3"/>
                </a:lnTo>
                <a:lnTo>
                  <a:pt x="5" y="1"/>
                </a:lnTo>
                <a:lnTo>
                  <a:pt x="11" y="0"/>
                </a:lnTo>
                <a:lnTo>
                  <a:pt x="16" y="0"/>
                </a:lnTo>
                <a:close/>
              </a:path>
            </a:pathLst>
          </a:custGeom>
          <a:solidFill>
            <a:schemeClr val="accent3">
              <a:lumMod val="75000"/>
            </a:schemeClr>
          </a:solidFill>
          <a:ln w="0">
            <a:noFill/>
            <a:prstDash val="solid"/>
            <a:round/>
            <a:headEnd/>
            <a:tailEnd/>
          </a:ln>
        </xdr:spPr>
      </xdr:sp>
      <xdr:sp macro="" textlink="">
        <xdr:nvSpPr>
          <xdr:cNvPr id="32" name="Freeform 80"/>
          <xdr:cNvSpPr>
            <a:spLocks/>
          </xdr:cNvSpPr>
        </xdr:nvSpPr>
        <xdr:spPr bwMode="auto">
          <a:xfrm>
            <a:off x="594" y="101"/>
            <a:ext cx="113" cy="31"/>
          </a:xfrm>
          <a:custGeom>
            <a:avLst/>
            <a:gdLst>
              <a:gd name="T0" fmla="*/ 195 w 564"/>
              <a:gd name="T1" fmla="*/ 2 h 157"/>
              <a:gd name="T2" fmla="*/ 244 w 564"/>
              <a:gd name="T3" fmla="*/ 22 h 157"/>
              <a:gd name="T4" fmla="*/ 279 w 564"/>
              <a:gd name="T5" fmla="*/ 54 h 157"/>
              <a:gd name="T6" fmla="*/ 299 w 564"/>
              <a:gd name="T7" fmla="*/ 93 h 157"/>
              <a:gd name="T8" fmla="*/ 315 w 564"/>
              <a:gd name="T9" fmla="*/ 122 h 157"/>
              <a:gd name="T10" fmla="*/ 336 w 564"/>
              <a:gd name="T11" fmla="*/ 135 h 157"/>
              <a:gd name="T12" fmla="*/ 361 w 564"/>
              <a:gd name="T13" fmla="*/ 139 h 157"/>
              <a:gd name="T14" fmla="*/ 365 w 564"/>
              <a:gd name="T15" fmla="*/ 139 h 157"/>
              <a:gd name="T16" fmla="*/ 440 w 564"/>
              <a:gd name="T17" fmla="*/ 138 h 157"/>
              <a:gd name="T18" fmla="*/ 444 w 564"/>
              <a:gd name="T19" fmla="*/ 135 h 157"/>
              <a:gd name="T20" fmla="*/ 444 w 564"/>
              <a:gd name="T21" fmla="*/ 131 h 157"/>
              <a:gd name="T22" fmla="*/ 441 w 564"/>
              <a:gd name="T23" fmla="*/ 127 h 157"/>
              <a:gd name="T24" fmla="*/ 434 w 564"/>
              <a:gd name="T25" fmla="*/ 125 h 157"/>
              <a:gd name="T26" fmla="*/ 421 w 564"/>
              <a:gd name="T27" fmla="*/ 124 h 157"/>
              <a:gd name="T28" fmla="*/ 401 w 564"/>
              <a:gd name="T29" fmla="*/ 123 h 157"/>
              <a:gd name="T30" fmla="*/ 389 w 564"/>
              <a:gd name="T31" fmla="*/ 121 h 157"/>
              <a:gd name="T32" fmla="*/ 343 w 564"/>
              <a:gd name="T33" fmla="*/ 101 h 157"/>
              <a:gd name="T34" fmla="*/ 309 w 564"/>
              <a:gd name="T35" fmla="*/ 68 h 157"/>
              <a:gd name="T36" fmla="*/ 288 w 564"/>
              <a:gd name="T37" fmla="*/ 27 h 157"/>
              <a:gd name="T38" fmla="*/ 302 w 564"/>
              <a:gd name="T39" fmla="*/ 1 h 157"/>
              <a:gd name="T40" fmla="*/ 346 w 564"/>
              <a:gd name="T41" fmla="*/ 2 h 157"/>
              <a:gd name="T42" fmla="*/ 395 w 564"/>
              <a:gd name="T43" fmla="*/ 22 h 157"/>
              <a:gd name="T44" fmla="*/ 430 w 564"/>
              <a:gd name="T45" fmla="*/ 54 h 157"/>
              <a:gd name="T46" fmla="*/ 450 w 564"/>
              <a:gd name="T47" fmla="*/ 93 h 157"/>
              <a:gd name="T48" fmla="*/ 466 w 564"/>
              <a:gd name="T49" fmla="*/ 122 h 157"/>
              <a:gd name="T50" fmla="*/ 487 w 564"/>
              <a:gd name="T51" fmla="*/ 135 h 157"/>
              <a:gd name="T52" fmla="*/ 512 w 564"/>
              <a:gd name="T53" fmla="*/ 139 h 157"/>
              <a:gd name="T54" fmla="*/ 523 w 564"/>
              <a:gd name="T55" fmla="*/ 139 h 157"/>
              <a:gd name="T56" fmla="*/ 549 w 564"/>
              <a:gd name="T57" fmla="*/ 139 h 157"/>
              <a:gd name="T58" fmla="*/ 552 w 564"/>
              <a:gd name="T59" fmla="*/ 149 h 157"/>
              <a:gd name="T60" fmla="*/ 518 w 564"/>
              <a:gd name="T61" fmla="*/ 157 h 157"/>
              <a:gd name="T62" fmla="*/ 0 w 564"/>
              <a:gd name="T63" fmla="*/ 149 h 157"/>
              <a:gd name="T64" fmla="*/ 35 w 564"/>
              <a:gd name="T65" fmla="*/ 120 h 157"/>
              <a:gd name="T66" fmla="*/ 79 w 564"/>
              <a:gd name="T67" fmla="*/ 104 h 157"/>
              <a:gd name="T68" fmla="*/ 127 w 564"/>
              <a:gd name="T69" fmla="*/ 104 h 157"/>
              <a:gd name="T70" fmla="*/ 170 w 564"/>
              <a:gd name="T71" fmla="*/ 120 h 157"/>
              <a:gd name="T72" fmla="*/ 176 w 564"/>
              <a:gd name="T73" fmla="*/ 123 h 157"/>
              <a:gd name="T74" fmla="*/ 199 w 564"/>
              <a:gd name="T75" fmla="*/ 135 h 157"/>
              <a:gd name="T76" fmla="*/ 215 w 564"/>
              <a:gd name="T77" fmla="*/ 139 h 157"/>
              <a:gd name="T78" fmla="*/ 289 w 564"/>
              <a:gd name="T79" fmla="*/ 138 h 157"/>
              <a:gd name="T80" fmla="*/ 293 w 564"/>
              <a:gd name="T81" fmla="*/ 135 h 157"/>
              <a:gd name="T82" fmla="*/ 293 w 564"/>
              <a:gd name="T83" fmla="*/ 131 h 157"/>
              <a:gd name="T84" fmla="*/ 290 w 564"/>
              <a:gd name="T85" fmla="*/ 127 h 157"/>
              <a:gd name="T86" fmla="*/ 283 w 564"/>
              <a:gd name="T87" fmla="*/ 125 h 157"/>
              <a:gd name="T88" fmla="*/ 270 w 564"/>
              <a:gd name="T89" fmla="*/ 124 h 157"/>
              <a:gd name="T90" fmla="*/ 250 w 564"/>
              <a:gd name="T91" fmla="*/ 123 h 157"/>
              <a:gd name="T92" fmla="*/ 242 w 564"/>
              <a:gd name="T93" fmla="*/ 121 h 157"/>
              <a:gd name="T94" fmla="*/ 215 w 564"/>
              <a:gd name="T95" fmla="*/ 113 h 157"/>
              <a:gd name="T96" fmla="*/ 174 w 564"/>
              <a:gd name="T97" fmla="*/ 86 h 157"/>
              <a:gd name="T98" fmla="*/ 145 w 564"/>
              <a:gd name="T99" fmla="*/ 49 h 157"/>
              <a:gd name="T100" fmla="*/ 133 w 564"/>
              <a:gd name="T101" fmla="*/ 4 h 157"/>
              <a:gd name="T102" fmla="*/ 170 w 564"/>
              <a:gd name="T103" fmla="*/ 0 h 15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564" h="157">
                <a:moveTo>
                  <a:pt x="170" y="0"/>
                </a:moveTo>
                <a:lnTo>
                  <a:pt x="195" y="2"/>
                </a:lnTo>
                <a:lnTo>
                  <a:pt x="220" y="9"/>
                </a:lnTo>
                <a:lnTo>
                  <a:pt x="244" y="22"/>
                </a:lnTo>
                <a:lnTo>
                  <a:pt x="263" y="36"/>
                </a:lnTo>
                <a:lnTo>
                  <a:pt x="279" y="54"/>
                </a:lnTo>
                <a:lnTo>
                  <a:pt x="290" y="73"/>
                </a:lnTo>
                <a:lnTo>
                  <a:pt x="299" y="93"/>
                </a:lnTo>
                <a:lnTo>
                  <a:pt x="306" y="109"/>
                </a:lnTo>
                <a:lnTo>
                  <a:pt x="315" y="122"/>
                </a:lnTo>
                <a:lnTo>
                  <a:pt x="326" y="130"/>
                </a:lnTo>
                <a:lnTo>
                  <a:pt x="336" y="135"/>
                </a:lnTo>
                <a:lnTo>
                  <a:pt x="349" y="138"/>
                </a:lnTo>
                <a:lnTo>
                  <a:pt x="361" y="139"/>
                </a:lnTo>
                <a:lnTo>
                  <a:pt x="363" y="139"/>
                </a:lnTo>
                <a:lnTo>
                  <a:pt x="365" y="139"/>
                </a:lnTo>
                <a:lnTo>
                  <a:pt x="437" y="139"/>
                </a:lnTo>
                <a:lnTo>
                  <a:pt x="440" y="138"/>
                </a:lnTo>
                <a:lnTo>
                  <a:pt x="443" y="137"/>
                </a:lnTo>
                <a:lnTo>
                  <a:pt x="444" y="135"/>
                </a:lnTo>
                <a:lnTo>
                  <a:pt x="445" y="133"/>
                </a:lnTo>
                <a:lnTo>
                  <a:pt x="444" y="131"/>
                </a:lnTo>
                <a:lnTo>
                  <a:pt x="443" y="129"/>
                </a:lnTo>
                <a:lnTo>
                  <a:pt x="441" y="127"/>
                </a:lnTo>
                <a:lnTo>
                  <a:pt x="438" y="126"/>
                </a:lnTo>
                <a:lnTo>
                  <a:pt x="434" y="125"/>
                </a:lnTo>
                <a:lnTo>
                  <a:pt x="430" y="125"/>
                </a:lnTo>
                <a:lnTo>
                  <a:pt x="421" y="124"/>
                </a:lnTo>
                <a:lnTo>
                  <a:pt x="411" y="124"/>
                </a:lnTo>
                <a:lnTo>
                  <a:pt x="401" y="123"/>
                </a:lnTo>
                <a:lnTo>
                  <a:pt x="397" y="122"/>
                </a:lnTo>
                <a:lnTo>
                  <a:pt x="389" y="121"/>
                </a:lnTo>
                <a:lnTo>
                  <a:pt x="366" y="113"/>
                </a:lnTo>
                <a:lnTo>
                  <a:pt x="343" y="101"/>
                </a:lnTo>
                <a:lnTo>
                  <a:pt x="325" y="86"/>
                </a:lnTo>
                <a:lnTo>
                  <a:pt x="309" y="68"/>
                </a:lnTo>
                <a:lnTo>
                  <a:pt x="296" y="49"/>
                </a:lnTo>
                <a:lnTo>
                  <a:pt x="288" y="27"/>
                </a:lnTo>
                <a:lnTo>
                  <a:pt x="284" y="4"/>
                </a:lnTo>
                <a:lnTo>
                  <a:pt x="302" y="1"/>
                </a:lnTo>
                <a:lnTo>
                  <a:pt x="321" y="0"/>
                </a:lnTo>
                <a:lnTo>
                  <a:pt x="346" y="2"/>
                </a:lnTo>
                <a:lnTo>
                  <a:pt x="371" y="9"/>
                </a:lnTo>
                <a:lnTo>
                  <a:pt x="395" y="22"/>
                </a:lnTo>
                <a:lnTo>
                  <a:pt x="414" y="36"/>
                </a:lnTo>
                <a:lnTo>
                  <a:pt x="430" y="54"/>
                </a:lnTo>
                <a:lnTo>
                  <a:pt x="441" y="73"/>
                </a:lnTo>
                <a:lnTo>
                  <a:pt x="450" y="93"/>
                </a:lnTo>
                <a:lnTo>
                  <a:pt x="457" y="109"/>
                </a:lnTo>
                <a:lnTo>
                  <a:pt x="466" y="122"/>
                </a:lnTo>
                <a:lnTo>
                  <a:pt x="477" y="130"/>
                </a:lnTo>
                <a:lnTo>
                  <a:pt x="487" y="135"/>
                </a:lnTo>
                <a:lnTo>
                  <a:pt x="499" y="138"/>
                </a:lnTo>
                <a:lnTo>
                  <a:pt x="512" y="139"/>
                </a:lnTo>
                <a:lnTo>
                  <a:pt x="515" y="139"/>
                </a:lnTo>
                <a:lnTo>
                  <a:pt x="523" y="139"/>
                </a:lnTo>
                <a:lnTo>
                  <a:pt x="536" y="139"/>
                </a:lnTo>
                <a:lnTo>
                  <a:pt x="549" y="139"/>
                </a:lnTo>
                <a:lnTo>
                  <a:pt x="564" y="139"/>
                </a:lnTo>
                <a:lnTo>
                  <a:pt x="552" y="149"/>
                </a:lnTo>
                <a:lnTo>
                  <a:pt x="536" y="155"/>
                </a:lnTo>
                <a:lnTo>
                  <a:pt x="518" y="157"/>
                </a:lnTo>
                <a:lnTo>
                  <a:pt x="8" y="157"/>
                </a:lnTo>
                <a:lnTo>
                  <a:pt x="0" y="149"/>
                </a:lnTo>
                <a:lnTo>
                  <a:pt x="16" y="133"/>
                </a:lnTo>
                <a:lnTo>
                  <a:pt x="35" y="120"/>
                </a:lnTo>
                <a:lnTo>
                  <a:pt x="56" y="110"/>
                </a:lnTo>
                <a:lnTo>
                  <a:pt x="79" y="104"/>
                </a:lnTo>
                <a:lnTo>
                  <a:pt x="103" y="102"/>
                </a:lnTo>
                <a:lnTo>
                  <a:pt x="127" y="104"/>
                </a:lnTo>
                <a:lnTo>
                  <a:pt x="150" y="110"/>
                </a:lnTo>
                <a:lnTo>
                  <a:pt x="170" y="120"/>
                </a:lnTo>
                <a:lnTo>
                  <a:pt x="172" y="121"/>
                </a:lnTo>
                <a:lnTo>
                  <a:pt x="176" y="123"/>
                </a:lnTo>
                <a:lnTo>
                  <a:pt x="188" y="130"/>
                </a:lnTo>
                <a:lnTo>
                  <a:pt x="199" y="135"/>
                </a:lnTo>
                <a:lnTo>
                  <a:pt x="208" y="138"/>
                </a:lnTo>
                <a:lnTo>
                  <a:pt x="215" y="139"/>
                </a:lnTo>
                <a:lnTo>
                  <a:pt x="286" y="139"/>
                </a:lnTo>
                <a:lnTo>
                  <a:pt x="289" y="138"/>
                </a:lnTo>
                <a:lnTo>
                  <a:pt x="292" y="137"/>
                </a:lnTo>
                <a:lnTo>
                  <a:pt x="293" y="135"/>
                </a:lnTo>
                <a:lnTo>
                  <a:pt x="294" y="133"/>
                </a:lnTo>
                <a:lnTo>
                  <a:pt x="293" y="131"/>
                </a:lnTo>
                <a:lnTo>
                  <a:pt x="292" y="129"/>
                </a:lnTo>
                <a:lnTo>
                  <a:pt x="290" y="127"/>
                </a:lnTo>
                <a:lnTo>
                  <a:pt x="287" y="126"/>
                </a:lnTo>
                <a:lnTo>
                  <a:pt x="283" y="125"/>
                </a:lnTo>
                <a:lnTo>
                  <a:pt x="279" y="125"/>
                </a:lnTo>
                <a:lnTo>
                  <a:pt x="270" y="124"/>
                </a:lnTo>
                <a:lnTo>
                  <a:pt x="260" y="124"/>
                </a:lnTo>
                <a:lnTo>
                  <a:pt x="250" y="123"/>
                </a:lnTo>
                <a:lnTo>
                  <a:pt x="246" y="122"/>
                </a:lnTo>
                <a:lnTo>
                  <a:pt x="242" y="121"/>
                </a:lnTo>
                <a:lnTo>
                  <a:pt x="238" y="121"/>
                </a:lnTo>
                <a:lnTo>
                  <a:pt x="215" y="113"/>
                </a:lnTo>
                <a:lnTo>
                  <a:pt x="192" y="101"/>
                </a:lnTo>
                <a:lnTo>
                  <a:pt x="174" y="86"/>
                </a:lnTo>
                <a:lnTo>
                  <a:pt x="158" y="68"/>
                </a:lnTo>
                <a:lnTo>
                  <a:pt x="145" y="49"/>
                </a:lnTo>
                <a:lnTo>
                  <a:pt x="137" y="27"/>
                </a:lnTo>
                <a:lnTo>
                  <a:pt x="133" y="4"/>
                </a:lnTo>
                <a:lnTo>
                  <a:pt x="151" y="1"/>
                </a:lnTo>
                <a:lnTo>
                  <a:pt x="170" y="0"/>
                </a:lnTo>
                <a:close/>
              </a:path>
            </a:pathLst>
          </a:custGeom>
          <a:solidFill>
            <a:schemeClr val="accent3"/>
          </a:solidFill>
          <a:ln w="0">
            <a:solidFill>
              <a:schemeClr val="accent3"/>
            </a:solidFill>
            <a:prstDash val="solid"/>
            <a:round/>
            <a:headEnd/>
            <a:tailEnd/>
          </a:ln>
        </xdr:spPr>
      </xdr:sp>
      <xdr:sp macro="" textlink="">
        <xdr:nvSpPr>
          <xdr:cNvPr id="33" name="Freeform 81"/>
          <xdr:cNvSpPr>
            <a:spLocks/>
          </xdr:cNvSpPr>
        </xdr:nvSpPr>
        <xdr:spPr bwMode="auto">
          <a:xfrm>
            <a:off x="206" y="32"/>
            <a:ext cx="105" cy="79"/>
          </a:xfrm>
          <a:custGeom>
            <a:avLst/>
            <a:gdLst>
              <a:gd name="T0" fmla="*/ 465 w 524"/>
              <a:gd name="T1" fmla="*/ 18 h 391"/>
              <a:gd name="T2" fmla="*/ 443 w 524"/>
              <a:gd name="T3" fmla="*/ 52 h 391"/>
              <a:gd name="T4" fmla="*/ 467 w 524"/>
              <a:gd name="T5" fmla="*/ 54 h 391"/>
              <a:gd name="T6" fmla="*/ 513 w 524"/>
              <a:gd name="T7" fmla="*/ 90 h 391"/>
              <a:gd name="T8" fmla="*/ 522 w 524"/>
              <a:gd name="T9" fmla="*/ 143 h 391"/>
              <a:gd name="T10" fmla="*/ 504 w 524"/>
              <a:gd name="T11" fmla="*/ 137 h 391"/>
              <a:gd name="T12" fmla="*/ 483 w 524"/>
              <a:gd name="T13" fmla="*/ 164 h 391"/>
              <a:gd name="T14" fmla="*/ 448 w 524"/>
              <a:gd name="T15" fmla="*/ 203 h 391"/>
              <a:gd name="T16" fmla="*/ 448 w 524"/>
              <a:gd name="T17" fmla="*/ 206 h 391"/>
              <a:gd name="T18" fmla="*/ 469 w 524"/>
              <a:gd name="T19" fmla="*/ 259 h 391"/>
              <a:gd name="T20" fmla="*/ 448 w 524"/>
              <a:gd name="T21" fmla="*/ 313 h 391"/>
              <a:gd name="T22" fmla="*/ 402 w 524"/>
              <a:gd name="T23" fmla="*/ 303 h 391"/>
              <a:gd name="T24" fmla="*/ 306 w 524"/>
              <a:gd name="T25" fmla="*/ 223 h 391"/>
              <a:gd name="T26" fmla="*/ 355 w 524"/>
              <a:gd name="T27" fmla="*/ 175 h 391"/>
              <a:gd name="T28" fmla="*/ 363 w 524"/>
              <a:gd name="T29" fmla="*/ 104 h 391"/>
              <a:gd name="T30" fmla="*/ 327 w 524"/>
              <a:gd name="T31" fmla="*/ 47 h 391"/>
              <a:gd name="T32" fmla="*/ 261 w 524"/>
              <a:gd name="T33" fmla="*/ 24 h 391"/>
              <a:gd name="T34" fmla="*/ 215 w 524"/>
              <a:gd name="T35" fmla="*/ 36 h 391"/>
              <a:gd name="T36" fmla="*/ 168 w 524"/>
              <a:gd name="T37" fmla="*/ 83 h 391"/>
              <a:gd name="T38" fmla="*/ 160 w 524"/>
              <a:gd name="T39" fmla="*/ 153 h 391"/>
              <a:gd name="T40" fmla="*/ 197 w 524"/>
              <a:gd name="T41" fmla="*/ 211 h 391"/>
              <a:gd name="T42" fmla="*/ 262 w 524"/>
              <a:gd name="T43" fmla="*/ 233 h 391"/>
              <a:gd name="T44" fmla="*/ 287 w 524"/>
              <a:gd name="T45" fmla="*/ 229 h 391"/>
              <a:gd name="T46" fmla="*/ 371 w 524"/>
              <a:gd name="T47" fmla="*/ 331 h 391"/>
              <a:gd name="T48" fmla="*/ 338 w 524"/>
              <a:gd name="T49" fmla="*/ 311 h 391"/>
              <a:gd name="T50" fmla="*/ 328 w 524"/>
              <a:gd name="T51" fmla="*/ 353 h 391"/>
              <a:gd name="T52" fmla="*/ 283 w 524"/>
              <a:gd name="T53" fmla="*/ 388 h 391"/>
              <a:gd name="T54" fmla="*/ 242 w 524"/>
              <a:gd name="T55" fmla="*/ 388 h 391"/>
              <a:gd name="T56" fmla="*/ 198 w 524"/>
              <a:gd name="T57" fmla="*/ 353 h 391"/>
              <a:gd name="T58" fmla="*/ 187 w 524"/>
              <a:gd name="T59" fmla="*/ 312 h 391"/>
              <a:gd name="T60" fmla="*/ 150 w 524"/>
              <a:gd name="T61" fmla="*/ 333 h 391"/>
              <a:gd name="T62" fmla="*/ 118 w 524"/>
              <a:gd name="T63" fmla="*/ 336 h 391"/>
              <a:gd name="T64" fmla="*/ 116 w 524"/>
              <a:gd name="T65" fmla="*/ 300 h 391"/>
              <a:gd name="T66" fmla="*/ 100 w 524"/>
              <a:gd name="T67" fmla="*/ 263 h 391"/>
              <a:gd name="T68" fmla="*/ 71 w 524"/>
              <a:gd name="T69" fmla="*/ 245 h 391"/>
              <a:gd name="T70" fmla="*/ 68 w 524"/>
              <a:gd name="T71" fmla="*/ 218 h 391"/>
              <a:gd name="T72" fmla="*/ 80 w 524"/>
              <a:gd name="T73" fmla="*/ 205 h 391"/>
              <a:gd name="T74" fmla="*/ 56 w 524"/>
              <a:gd name="T75" fmla="*/ 202 h 391"/>
              <a:gd name="T76" fmla="*/ 10 w 524"/>
              <a:gd name="T77" fmla="*/ 168 h 391"/>
              <a:gd name="T78" fmla="*/ 3 w 524"/>
              <a:gd name="T79" fmla="*/ 109 h 391"/>
              <a:gd name="T80" fmla="*/ 37 w 524"/>
              <a:gd name="T81" fmla="*/ 64 h 391"/>
              <a:gd name="T82" fmla="*/ 76 w 524"/>
              <a:gd name="T83" fmla="*/ 53 h 391"/>
              <a:gd name="T84" fmla="*/ 64 w 524"/>
              <a:gd name="T85" fmla="*/ 36 h 39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Lst>
            <a:rect l="0" t="0" r="r" b="b"/>
            <a:pathLst>
              <a:path w="524" h="391">
                <a:moveTo>
                  <a:pt x="54" y="0"/>
                </a:moveTo>
                <a:lnTo>
                  <a:pt x="468" y="0"/>
                </a:lnTo>
                <a:lnTo>
                  <a:pt x="465" y="18"/>
                </a:lnTo>
                <a:lnTo>
                  <a:pt x="458" y="34"/>
                </a:lnTo>
                <a:lnTo>
                  <a:pt x="447" y="50"/>
                </a:lnTo>
                <a:lnTo>
                  <a:pt x="443" y="52"/>
                </a:lnTo>
                <a:lnTo>
                  <a:pt x="448" y="52"/>
                </a:lnTo>
                <a:lnTo>
                  <a:pt x="448" y="52"/>
                </a:lnTo>
                <a:lnTo>
                  <a:pt x="467" y="54"/>
                </a:lnTo>
                <a:lnTo>
                  <a:pt x="486" y="63"/>
                </a:lnTo>
                <a:lnTo>
                  <a:pt x="501" y="74"/>
                </a:lnTo>
                <a:lnTo>
                  <a:pt x="513" y="90"/>
                </a:lnTo>
                <a:lnTo>
                  <a:pt x="520" y="107"/>
                </a:lnTo>
                <a:lnTo>
                  <a:pt x="524" y="127"/>
                </a:lnTo>
                <a:lnTo>
                  <a:pt x="522" y="143"/>
                </a:lnTo>
                <a:lnTo>
                  <a:pt x="517" y="157"/>
                </a:lnTo>
                <a:lnTo>
                  <a:pt x="510" y="171"/>
                </a:lnTo>
                <a:lnTo>
                  <a:pt x="504" y="137"/>
                </a:lnTo>
                <a:lnTo>
                  <a:pt x="497" y="105"/>
                </a:lnTo>
                <a:lnTo>
                  <a:pt x="489" y="133"/>
                </a:lnTo>
                <a:lnTo>
                  <a:pt x="483" y="164"/>
                </a:lnTo>
                <a:lnTo>
                  <a:pt x="479" y="197"/>
                </a:lnTo>
                <a:lnTo>
                  <a:pt x="464" y="202"/>
                </a:lnTo>
                <a:lnTo>
                  <a:pt x="448" y="203"/>
                </a:lnTo>
                <a:lnTo>
                  <a:pt x="444" y="203"/>
                </a:lnTo>
                <a:lnTo>
                  <a:pt x="448" y="206"/>
                </a:lnTo>
                <a:lnTo>
                  <a:pt x="448" y="206"/>
                </a:lnTo>
                <a:lnTo>
                  <a:pt x="459" y="222"/>
                </a:lnTo>
                <a:lnTo>
                  <a:pt x="467" y="241"/>
                </a:lnTo>
                <a:lnTo>
                  <a:pt x="469" y="259"/>
                </a:lnTo>
                <a:lnTo>
                  <a:pt x="467" y="278"/>
                </a:lnTo>
                <a:lnTo>
                  <a:pt x="460" y="297"/>
                </a:lnTo>
                <a:lnTo>
                  <a:pt x="448" y="313"/>
                </a:lnTo>
                <a:lnTo>
                  <a:pt x="437" y="322"/>
                </a:lnTo>
                <a:lnTo>
                  <a:pt x="426" y="328"/>
                </a:lnTo>
                <a:lnTo>
                  <a:pt x="402" y="303"/>
                </a:lnTo>
                <a:lnTo>
                  <a:pt x="370" y="272"/>
                </a:lnTo>
                <a:lnTo>
                  <a:pt x="337" y="246"/>
                </a:lnTo>
                <a:lnTo>
                  <a:pt x="306" y="223"/>
                </a:lnTo>
                <a:lnTo>
                  <a:pt x="326" y="211"/>
                </a:lnTo>
                <a:lnTo>
                  <a:pt x="342" y="194"/>
                </a:lnTo>
                <a:lnTo>
                  <a:pt x="355" y="175"/>
                </a:lnTo>
                <a:lnTo>
                  <a:pt x="363" y="152"/>
                </a:lnTo>
                <a:lnTo>
                  <a:pt x="366" y="128"/>
                </a:lnTo>
                <a:lnTo>
                  <a:pt x="363" y="104"/>
                </a:lnTo>
                <a:lnTo>
                  <a:pt x="355" y="82"/>
                </a:lnTo>
                <a:lnTo>
                  <a:pt x="342" y="63"/>
                </a:lnTo>
                <a:lnTo>
                  <a:pt x="327" y="47"/>
                </a:lnTo>
                <a:lnTo>
                  <a:pt x="307" y="34"/>
                </a:lnTo>
                <a:lnTo>
                  <a:pt x="285" y="27"/>
                </a:lnTo>
                <a:lnTo>
                  <a:pt x="261" y="24"/>
                </a:lnTo>
                <a:lnTo>
                  <a:pt x="261" y="24"/>
                </a:lnTo>
                <a:lnTo>
                  <a:pt x="237" y="27"/>
                </a:lnTo>
                <a:lnTo>
                  <a:pt x="215" y="36"/>
                </a:lnTo>
                <a:lnTo>
                  <a:pt x="197" y="47"/>
                </a:lnTo>
                <a:lnTo>
                  <a:pt x="180" y="64"/>
                </a:lnTo>
                <a:lnTo>
                  <a:pt x="168" y="83"/>
                </a:lnTo>
                <a:lnTo>
                  <a:pt x="160" y="105"/>
                </a:lnTo>
                <a:lnTo>
                  <a:pt x="157" y="129"/>
                </a:lnTo>
                <a:lnTo>
                  <a:pt x="160" y="153"/>
                </a:lnTo>
                <a:lnTo>
                  <a:pt x="169" y="175"/>
                </a:lnTo>
                <a:lnTo>
                  <a:pt x="180" y="194"/>
                </a:lnTo>
                <a:lnTo>
                  <a:pt x="197" y="211"/>
                </a:lnTo>
                <a:lnTo>
                  <a:pt x="216" y="222"/>
                </a:lnTo>
                <a:lnTo>
                  <a:pt x="238" y="230"/>
                </a:lnTo>
                <a:lnTo>
                  <a:pt x="262" y="233"/>
                </a:lnTo>
                <a:lnTo>
                  <a:pt x="262" y="233"/>
                </a:lnTo>
                <a:lnTo>
                  <a:pt x="275" y="232"/>
                </a:lnTo>
                <a:lnTo>
                  <a:pt x="287" y="229"/>
                </a:lnTo>
                <a:lnTo>
                  <a:pt x="310" y="263"/>
                </a:lnTo>
                <a:lnTo>
                  <a:pt x="338" y="297"/>
                </a:lnTo>
                <a:lnTo>
                  <a:pt x="371" y="331"/>
                </a:lnTo>
                <a:lnTo>
                  <a:pt x="355" y="324"/>
                </a:lnTo>
                <a:lnTo>
                  <a:pt x="340" y="314"/>
                </a:lnTo>
                <a:lnTo>
                  <a:pt x="338" y="311"/>
                </a:lnTo>
                <a:lnTo>
                  <a:pt x="338" y="315"/>
                </a:lnTo>
                <a:lnTo>
                  <a:pt x="335" y="334"/>
                </a:lnTo>
                <a:lnTo>
                  <a:pt x="328" y="353"/>
                </a:lnTo>
                <a:lnTo>
                  <a:pt x="316" y="368"/>
                </a:lnTo>
                <a:lnTo>
                  <a:pt x="301" y="380"/>
                </a:lnTo>
                <a:lnTo>
                  <a:pt x="283" y="388"/>
                </a:lnTo>
                <a:lnTo>
                  <a:pt x="262" y="391"/>
                </a:lnTo>
                <a:lnTo>
                  <a:pt x="262" y="391"/>
                </a:lnTo>
                <a:lnTo>
                  <a:pt x="242" y="388"/>
                </a:lnTo>
                <a:lnTo>
                  <a:pt x="225" y="380"/>
                </a:lnTo>
                <a:lnTo>
                  <a:pt x="209" y="369"/>
                </a:lnTo>
                <a:lnTo>
                  <a:pt x="198" y="353"/>
                </a:lnTo>
                <a:lnTo>
                  <a:pt x="189" y="336"/>
                </a:lnTo>
                <a:lnTo>
                  <a:pt x="186" y="315"/>
                </a:lnTo>
                <a:lnTo>
                  <a:pt x="187" y="312"/>
                </a:lnTo>
                <a:lnTo>
                  <a:pt x="184" y="314"/>
                </a:lnTo>
                <a:lnTo>
                  <a:pt x="169" y="326"/>
                </a:lnTo>
                <a:lnTo>
                  <a:pt x="150" y="333"/>
                </a:lnTo>
                <a:lnTo>
                  <a:pt x="131" y="337"/>
                </a:lnTo>
                <a:lnTo>
                  <a:pt x="131" y="337"/>
                </a:lnTo>
                <a:lnTo>
                  <a:pt x="118" y="336"/>
                </a:lnTo>
                <a:lnTo>
                  <a:pt x="104" y="331"/>
                </a:lnTo>
                <a:lnTo>
                  <a:pt x="113" y="317"/>
                </a:lnTo>
                <a:lnTo>
                  <a:pt x="116" y="300"/>
                </a:lnTo>
                <a:lnTo>
                  <a:pt x="114" y="287"/>
                </a:lnTo>
                <a:lnTo>
                  <a:pt x="109" y="274"/>
                </a:lnTo>
                <a:lnTo>
                  <a:pt x="100" y="263"/>
                </a:lnTo>
                <a:lnTo>
                  <a:pt x="93" y="256"/>
                </a:lnTo>
                <a:lnTo>
                  <a:pt x="83" y="251"/>
                </a:lnTo>
                <a:lnTo>
                  <a:pt x="71" y="245"/>
                </a:lnTo>
                <a:lnTo>
                  <a:pt x="57" y="243"/>
                </a:lnTo>
                <a:lnTo>
                  <a:pt x="61" y="230"/>
                </a:lnTo>
                <a:lnTo>
                  <a:pt x="68" y="218"/>
                </a:lnTo>
                <a:lnTo>
                  <a:pt x="77" y="207"/>
                </a:lnTo>
                <a:lnTo>
                  <a:pt x="77" y="207"/>
                </a:lnTo>
                <a:lnTo>
                  <a:pt x="80" y="205"/>
                </a:lnTo>
                <a:lnTo>
                  <a:pt x="76" y="205"/>
                </a:lnTo>
                <a:lnTo>
                  <a:pt x="76" y="205"/>
                </a:lnTo>
                <a:lnTo>
                  <a:pt x="56" y="202"/>
                </a:lnTo>
                <a:lnTo>
                  <a:pt x="37" y="195"/>
                </a:lnTo>
                <a:lnTo>
                  <a:pt x="23" y="183"/>
                </a:lnTo>
                <a:lnTo>
                  <a:pt x="10" y="168"/>
                </a:lnTo>
                <a:lnTo>
                  <a:pt x="3" y="150"/>
                </a:lnTo>
                <a:lnTo>
                  <a:pt x="0" y="129"/>
                </a:lnTo>
                <a:lnTo>
                  <a:pt x="3" y="109"/>
                </a:lnTo>
                <a:lnTo>
                  <a:pt x="10" y="92"/>
                </a:lnTo>
                <a:lnTo>
                  <a:pt x="22" y="76"/>
                </a:lnTo>
                <a:lnTo>
                  <a:pt x="37" y="64"/>
                </a:lnTo>
                <a:lnTo>
                  <a:pt x="55" y="56"/>
                </a:lnTo>
                <a:lnTo>
                  <a:pt x="75" y="53"/>
                </a:lnTo>
                <a:lnTo>
                  <a:pt x="76" y="53"/>
                </a:lnTo>
                <a:lnTo>
                  <a:pt x="79" y="54"/>
                </a:lnTo>
                <a:lnTo>
                  <a:pt x="76" y="51"/>
                </a:lnTo>
                <a:lnTo>
                  <a:pt x="64" y="36"/>
                </a:lnTo>
                <a:lnTo>
                  <a:pt x="57" y="18"/>
                </a:lnTo>
                <a:lnTo>
                  <a:pt x="54" y="0"/>
                </a:lnTo>
                <a:close/>
              </a:path>
            </a:pathLst>
          </a:custGeom>
          <a:solidFill>
            <a:schemeClr val="accent1"/>
          </a:solidFill>
          <a:ln w="0">
            <a:solidFill>
              <a:schemeClr val="accent1"/>
            </a:solidFill>
            <a:prstDash val="solid"/>
            <a:round/>
            <a:headEnd/>
            <a:tailEnd/>
          </a:ln>
        </xdr:spPr>
      </xdr:sp>
      <xdr:sp macro="" textlink="">
        <xdr:nvSpPr>
          <xdr:cNvPr id="34" name="Freeform 82"/>
          <xdr:cNvSpPr>
            <a:spLocks/>
          </xdr:cNvSpPr>
        </xdr:nvSpPr>
        <xdr:spPr bwMode="auto">
          <a:xfrm>
            <a:off x="302" y="53"/>
            <a:ext cx="6" cy="19"/>
          </a:xfrm>
          <a:custGeom>
            <a:avLst/>
            <a:gdLst>
              <a:gd name="T0" fmla="*/ 18 w 31"/>
              <a:gd name="T1" fmla="*/ 0 h 92"/>
              <a:gd name="T2" fmla="*/ 25 w 31"/>
              <a:gd name="T3" fmla="*/ 32 h 92"/>
              <a:gd name="T4" fmla="*/ 31 w 31"/>
              <a:gd name="T5" fmla="*/ 66 h 92"/>
              <a:gd name="T6" fmla="*/ 18 w 31"/>
              <a:gd name="T7" fmla="*/ 81 h 92"/>
              <a:gd name="T8" fmla="*/ 0 w 31"/>
              <a:gd name="T9" fmla="*/ 92 h 92"/>
              <a:gd name="T10" fmla="*/ 4 w 31"/>
              <a:gd name="T11" fmla="*/ 59 h 92"/>
              <a:gd name="T12" fmla="*/ 10 w 31"/>
              <a:gd name="T13" fmla="*/ 28 h 92"/>
              <a:gd name="T14" fmla="*/ 18 w 31"/>
              <a:gd name="T15" fmla="*/ 0 h 92"/>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1" h="92">
                <a:moveTo>
                  <a:pt x="18" y="0"/>
                </a:moveTo>
                <a:lnTo>
                  <a:pt x="25" y="32"/>
                </a:lnTo>
                <a:lnTo>
                  <a:pt x="31" y="66"/>
                </a:lnTo>
                <a:lnTo>
                  <a:pt x="18" y="81"/>
                </a:lnTo>
                <a:lnTo>
                  <a:pt x="0" y="92"/>
                </a:lnTo>
                <a:lnTo>
                  <a:pt x="4" y="59"/>
                </a:lnTo>
                <a:lnTo>
                  <a:pt x="10" y="28"/>
                </a:lnTo>
                <a:lnTo>
                  <a:pt x="18"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35" name="Freeform 83"/>
          <xdr:cNvSpPr>
            <a:spLocks/>
          </xdr:cNvSpPr>
        </xdr:nvSpPr>
        <xdr:spPr bwMode="auto">
          <a:xfrm>
            <a:off x="264" y="77"/>
            <a:ext cx="27" cy="23"/>
          </a:xfrm>
          <a:custGeom>
            <a:avLst/>
            <a:gdLst>
              <a:gd name="T0" fmla="*/ 19 w 139"/>
              <a:gd name="T1" fmla="*/ 0 h 113"/>
              <a:gd name="T2" fmla="*/ 50 w 139"/>
              <a:gd name="T3" fmla="*/ 23 h 113"/>
              <a:gd name="T4" fmla="*/ 83 w 139"/>
              <a:gd name="T5" fmla="*/ 49 h 113"/>
              <a:gd name="T6" fmla="*/ 115 w 139"/>
              <a:gd name="T7" fmla="*/ 80 h 113"/>
              <a:gd name="T8" fmla="*/ 139 w 139"/>
              <a:gd name="T9" fmla="*/ 105 h 113"/>
              <a:gd name="T10" fmla="*/ 123 w 139"/>
              <a:gd name="T11" fmla="*/ 110 h 113"/>
              <a:gd name="T12" fmla="*/ 107 w 139"/>
              <a:gd name="T13" fmla="*/ 113 h 113"/>
              <a:gd name="T14" fmla="*/ 95 w 139"/>
              <a:gd name="T15" fmla="*/ 111 h 113"/>
              <a:gd name="T16" fmla="*/ 84 w 139"/>
              <a:gd name="T17" fmla="*/ 108 h 113"/>
              <a:gd name="T18" fmla="*/ 51 w 139"/>
              <a:gd name="T19" fmla="*/ 74 h 113"/>
              <a:gd name="T20" fmla="*/ 23 w 139"/>
              <a:gd name="T21" fmla="*/ 40 h 113"/>
              <a:gd name="T22" fmla="*/ 0 w 139"/>
              <a:gd name="T23" fmla="*/ 6 h 113"/>
              <a:gd name="T24" fmla="*/ 19 w 139"/>
              <a:gd name="T25" fmla="*/ 0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39" h="113">
                <a:moveTo>
                  <a:pt x="19" y="0"/>
                </a:moveTo>
                <a:lnTo>
                  <a:pt x="50" y="23"/>
                </a:lnTo>
                <a:lnTo>
                  <a:pt x="83" y="49"/>
                </a:lnTo>
                <a:lnTo>
                  <a:pt x="115" y="80"/>
                </a:lnTo>
                <a:lnTo>
                  <a:pt x="139" y="105"/>
                </a:lnTo>
                <a:lnTo>
                  <a:pt x="123" y="110"/>
                </a:lnTo>
                <a:lnTo>
                  <a:pt x="107" y="113"/>
                </a:lnTo>
                <a:lnTo>
                  <a:pt x="95" y="111"/>
                </a:lnTo>
                <a:lnTo>
                  <a:pt x="84" y="108"/>
                </a:lnTo>
                <a:lnTo>
                  <a:pt x="51" y="74"/>
                </a:lnTo>
                <a:lnTo>
                  <a:pt x="23" y="40"/>
                </a:lnTo>
                <a:lnTo>
                  <a:pt x="0" y="6"/>
                </a:lnTo>
                <a:lnTo>
                  <a:pt x="19"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36" name="Freeform 84"/>
          <xdr:cNvSpPr>
            <a:spLocks/>
          </xdr:cNvSpPr>
        </xdr:nvSpPr>
        <xdr:spPr bwMode="auto">
          <a:xfrm>
            <a:off x="217" y="81"/>
            <a:ext cx="12" cy="18"/>
          </a:xfrm>
          <a:custGeom>
            <a:avLst/>
            <a:gdLst>
              <a:gd name="T0" fmla="*/ 2 w 61"/>
              <a:gd name="T1" fmla="*/ 0 h 88"/>
              <a:gd name="T2" fmla="*/ 16 w 61"/>
              <a:gd name="T3" fmla="*/ 2 h 88"/>
              <a:gd name="T4" fmla="*/ 28 w 61"/>
              <a:gd name="T5" fmla="*/ 8 h 88"/>
              <a:gd name="T6" fmla="*/ 38 w 61"/>
              <a:gd name="T7" fmla="*/ 13 h 88"/>
              <a:gd name="T8" fmla="*/ 45 w 61"/>
              <a:gd name="T9" fmla="*/ 20 h 88"/>
              <a:gd name="T10" fmla="*/ 54 w 61"/>
              <a:gd name="T11" fmla="*/ 31 h 88"/>
              <a:gd name="T12" fmla="*/ 59 w 61"/>
              <a:gd name="T13" fmla="*/ 44 h 88"/>
              <a:gd name="T14" fmla="*/ 61 w 61"/>
              <a:gd name="T15" fmla="*/ 57 h 88"/>
              <a:gd name="T16" fmla="*/ 58 w 61"/>
              <a:gd name="T17" fmla="*/ 74 h 88"/>
              <a:gd name="T18" fmla="*/ 49 w 61"/>
              <a:gd name="T19" fmla="*/ 88 h 88"/>
              <a:gd name="T20" fmla="*/ 35 w 61"/>
              <a:gd name="T21" fmla="*/ 82 h 88"/>
              <a:gd name="T22" fmla="*/ 22 w 61"/>
              <a:gd name="T23" fmla="*/ 72 h 88"/>
              <a:gd name="T24" fmla="*/ 10 w 61"/>
              <a:gd name="T25" fmla="*/ 55 h 88"/>
              <a:gd name="T26" fmla="*/ 2 w 61"/>
              <a:gd name="T27" fmla="*/ 37 h 88"/>
              <a:gd name="T28" fmla="*/ 0 w 61"/>
              <a:gd name="T29" fmla="*/ 19 h 88"/>
              <a:gd name="T30" fmla="*/ 0 w 61"/>
              <a:gd name="T31" fmla="*/ 18 h 88"/>
              <a:gd name="T32" fmla="*/ 2 w 61"/>
              <a:gd name="T33"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61" h="88">
                <a:moveTo>
                  <a:pt x="2" y="0"/>
                </a:moveTo>
                <a:lnTo>
                  <a:pt x="16" y="2"/>
                </a:lnTo>
                <a:lnTo>
                  <a:pt x="28" y="8"/>
                </a:lnTo>
                <a:lnTo>
                  <a:pt x="38" y="13"/>
                </a:lnTo>
                <a:lnTo>
                  <a:pt x="45" y="20"/>
                </a:lnTo>
                <a:lnTo>
                  <a:pt x="54" y="31"/>
                </a:lnTo>
                <a:lnTo>
                  <a:pt x="59" y="44"/>
                </a:lnTo>
                <a:lnTo>
                  <a:pt x="61" y="57"/>
                </a:lnTo>
                <a:lnTo>
                  <a:pt x="58" y="74"/>
                </a:lnTo>
                <a:lnTo>
                  <a:pt x="49" y="88"/>
                </a:lnTo>
                <a:lnTo>
                  <a:pt x="35" y="82"/>
                </a:lnTo>
                <a:lnTo>
                  <a:pt x="22" y="72"/>
                </a:lnTo>
                <a:lnTo>
                  <a:pt x="10" y="55"/>
                </a:lnTo>
                <a:lnTo>
                  <a:pt x="2" y="37"/>
                </a:lnTo>
                <a:lnTo>
                  <a:pt x="0" y="19"/>
                </a:lnTo>
                <a:lnTo>
                  <a:pt x="0" y="18"/>
                </a:lnTo>
                <a:lnTo>
                  <a:pt x="2" y="0"/>
                </a:lnTo>
                <a:close/>
              </a:path>
            </a:pathLst>
          </a:custGeom>
          <a:solidFill>
            <a:schemeClr val="accent2">
              <a:lumMod val="75000"/>
            </a:schemeClr>
          </a:solidFill>
          <a:ln w="0">
            <a:solidFill>
              <a:schemeClr val="accent2">
                <a:lumMod val="75000"/>
              </a:schemeClr>
            </a:solidFill>
            <a:prstDash val="solid"/>
            <a:round/>
            <a:headEnd/>
            <a:tailEnd/>
          </a:ln>
        </xdr:spPr>
      </xdr:sp>
      <xdr:sp macro="" textlink="">
        <xdr:nvSpPr>
          <xdr:cNvPr id="37" name="Freeform 85"/>
          <xdr:cNvSpPr>
            <a:spLocks noEditPoints="1"/>
          </xdr:cNvSpPr>
        </xdr:nvSpPr>
        <xdr:spPr bwMode="auto">
          <a:xfrm>
            <a:off x="370" y="39"/>
            <a:ext cx="56" cy="55"/>
          </a:xfrm>
          <a:custGeom>
            <a:avLst/>
            <a:gdLst>
              <a:gd name="T0" fmla="*/ 119 w 278"/>
              <a:gd name="T1" fmla="*/ 111 h 278"/>
              <a:gd name="T2" fmla="*/ 103 w 278"/>
              <a:gd name="T3" fmla="*/ 139 h 278"/>
              <a:gd name="T4" fmla="*/ 117 w 278"/>
              <a:gd name="T5" fmla="*/ 167 h 278"/>
              <a:gd name="T6" fmla="*/ 139 w 278"/>
              <a:gd name="T7" fmla="*/ 175 h 278"/>
              <a:gd name="T8" fmla="*/ 167 w 278"/>
              <a:gd name="T9" fmla="*/ 162 h 278"/>
              <a:gd name="T10" fmla="*/ 173 w 278"/>
              <a:gd name="T11" fmla="*/ 131 h 278"/>
              <a:gd name="T12" fmla="*/ 151 w 278"/>
              <a:gd name="T13" fmla="*/ 107 h 278"/>
              <a:gd name="T14" fmla="*/ 175 w 278"/>
              <a:gd name="T15" fmla="*/ 0 h 278"/>
              <a:gd name="T16" fmla="*/ 202 w 278"/>
              <a:gd name="T17" fmla="*/ 10 h 278"/>
              <a:gd name="T18" fmla="*/ 218 w 278"/>
              <a:gd name="T19" fmla="*/ 44 h 278"/>
              <a:gd name="T20" fmla="*/ 216 w 278"/>
              <a:gd name="T21" fmla="*/ 59 h 278"/>
              <a:gd name="T22" fmla="*/ 241 w 278"/>
              <a:gd name="T23" fmla="*/ 56 h 278"/>
              <a:gd name="T24" fmla="*/ 266 w 278"/>
              <a:gd name="T25" fmla="*/ 70 h 278"/>
              <a:gd name="T26" fmla="*/ 275 w 278"/>
              <a:gd name="T27" fmla="*/ 101 h 278"/>
              <a:gd name="T28" fmla="*/ 261 w 278"/>
              <a:gd name="T29" fmla="*/ 130 h 278"/>
              <a:gd name="T30" fmla="*/ 251 w 278"/>
              <a:gd name="T31" fmla="*/ 137 h 278"/>
              <a:gd name="T32" fmla="*/ 276 w 278"/>
              <a:gd name="T33" fmla="*/ 165 h 278"/>
              <a:gd name="T34" fmla="*/ 269 w 278"/>
              <a:gd name="T35" fmla="*/ 202 h 278"/>
              <a:gd name="T36" fmla="*/ 236 w 278"/>
              <a:gd name="T37" fmla="*/ 219 h 278"/>
              <a:gd name="T38" fmla="*/ 219 w 278"/>
              <a:gd name="T39" fmla="*/ 215 h 278"/>
              <a:gd name="T40" fmla="*/ 223 w 278"/>
              <a:gd name="T41" fmla="*/ 227 h 278"/>
              <a:gd name="T42" fmla="*/ 216 w 278"/>
              <a:gd name="T43" fmla="*/ 259 h 278"/>
              <a:gd name="T44" fmla="*/ 190 w 278"/>
              <a:gd name="T45" fmla="*/ 275 h 278"/>
              <a:gd name="T46" fmla="*/ 167 w 278"/>
              <a:gd name="T47" fmla="*/ 273 h 278"/>
              <a:gd name="T48" fmla="*/ 143 w 278"/>
              <a:gd name="T49" fmla="*/ 251 h 278"/>
              <a:gd name="T50" fmla="*/ 136 w 278"/>
              <a:gd name="T51" fmla="*/ 263 h 278"/>
              <a:gd name="T52" fmla="*/ 102 w 278"/>
              <a:gd name="T53" fmla="*/ 278 h 278"/>
              <a:gd name="T54" fmla="*/ 75 w 278"/>
              <a:gd name="T55" fmla="*/ 269 h 278"/>
              <a:gd name="T56" fmla="*/ 60 w 278"/>
              <a:gd name="T57" fmla="*/ 235 h 278"/>
              <a:gd name="T58" fmla="*/ 62 w 278"/>
              <a:gd name="T59" fmla="*/ 221 h 278"/>
              <a:gd name="T60" fmla="*/ 37 w 278"/>
              <a:gd name="T61" fmla="*/ 224 h 278"/>
              <a:gd name="T62" fmla="*/ 12 w 278"/>
              <a:gd name="T63" fmla="*/ 210 h 278"/>
              <a:gd name="T64" fmla="*/ 2 w 278"/>
              <a:gd name="T65" fmla="*/ 178 h 278"/>
              <a:gd name="T66" fmla="*/ 10 w 278"/>
              <a:gd name="T67" fmla="*/ 158 h 278"/>
              <a:gd name="T68" fmla="*/ 27 w 278"/>
              <a:gd name="T69" fmla="*/ 144 h 278"/>
              <a:gd name="T70" fmla="*/ 14 w 278"/>
              <a:gd name="T71" fmla="*/ 135 h 278"/>
              <a:gd name="T72" fmla="*/ 1 w 278"/>
              <a:gd name="T73" fmla="*/ 94 h 278"/>
              <a:gd name="T74" fmla="*/ 47 w 278"/>
              <a:gd name="T75" fmla="*/ 117 h 278"/>
              <a:gd name="T76" fmla="*/ 82 w 278"/>
              <a:gd name="T77" fmla="*/ 98 h 278"/>
              <a:gd name="T78" fmla="*/ 57 w 278"/>
              <a:gd name="T79" fmla="*/ 64 h 278"/>
              <a:gd name="T80" fmla="*/ 55 w 278"/>
              <a:gd name="T81" fmla="*/ 51 h 278"/>
              <a:gd name="T82" fmla="*/ 57 w 278"/>
              <a:gd name="T83" fmla="*/ 31 h 278"/>
              <a:gd name="T84" fmla="*/ 78 w 278"/>
              <a:gd name="T85" fmla="*/ 7 h 278"/>
              <a:gd name="T86" fmla="*/ 103 w 278"/>
              <a:gd name="T87" fmla="*/ 3 h 278"/>
              <a:gd name="T88" fmla="*/ 128 w 278"/>
              <a:gd name="T89" fmla="*/ 18 h 278"/>
              <a:gd name="T90" fmla="*/ 136 w 278"/>
              <a:gd name="T91" fmla="*/ 30 h 278"/>
              <a:gd name="T92" fmla="*/ 152 w 278"/>
              <a:gd name="T93" fmla="*/ 8 h 2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78" h="278">
                <a:moveTo>
                  <a:pt x="139" y="105"/>
                </a:moveTo>
                <a:lnTo>
                  <a:pt x="128" y="106"/>
                </a:lnTo>
                <a:lnTo>
                  <a:pt x="119" y="111"/>
                </a:lnTo>
                <a:lnTo>
                  <a:pt x="112" y="118"/>
                </a:lnTo>
                <a:lnTo>
                  <a:pt x="106" y="127"/>
                </a:lnTo>
                <a:lnTo>
                  <a:pt x="103" y="139"/>
                </a:lnTo>
                <a:lnTo>
                  <a:pt x="105" y="149"/>
                </a:lnTo>
                <a:lnTo>
                  <a:pt x="110" y="159"/>
                </a:lnTo>
                <a:lnTo>
                  <a:pt x="117" y="167"/>
                </a:lnTo>
                <a:lnTo>
                  <a:pt x="126" y="173"/>
                </a:lnTo>
                <a:lnTo>
                  <a:pt x="133" y="174"/>
                </a:lnTo>
                <a:lnTo>
                  <a:pt x="139" y="175"/>
                </a:lnTo>
                <a:lnTo>
                  <a:pt x="149" y="173"/>
                </a:lnTo>
                <a:lnTo>
                  <a:pt x="159" y="169"/>
                </a:lnTo>
                <a:lnTo>
                  <a:pt x="167" y="162"/>
                </a:lnTo>
                <a:lnTo>
                  <a:pt x="172" y="152"/>
                </a:lnTo>
                <a:lnTo>
                  <a:pt x="174" y="141"/>
                </a:lnTo>
                <a:lnTo>
                  <a:pt x="173" y="131"/>
                </a:lnTo>
                <a:lnTo>
                  <a:pt x="169" y="120"/>
                </a:lnTo>
                <a:lnTo>
                  <a:pt x="162" y="113"/>
                </a:lnTo>
                <a:lnTo>
                  <a:pt x="151" y="107"/>
                </a:lnTo>
                <a:lnTo>
                  <a:pt x="145" y="105"/>
                </a:lnTo>
                <a:lnTo>
                  <a:pt x="139" y="105"/>
                </a:lnTo>
                <a:close/>
                <a:moveTo>
                  <a:pt x="175" y="0"/>
                </a:moveTo>
                <a:lnTo>
                  <a:pt x="183" y="1"/>
                </a:lnTo>
                <a:lnTo>
                  <a:pt x="191" y="3"/>
                </a:lnTo>
                <a:lnTo>
                  <a:pt x="202" y="10"/>
                </a:lnTo>
                <a:lnTo>
                  <a:pt x="211" y="20"/>
                </a:lnTo>
                <a:lnTo>
                  <a:pt x="216" y="32"/>
                </a:lnTo>
                <a:lnTo>
                  <a:pt x="218" y="44"/>
                </a:lnTo>
                <a:lnTo>
                  <a:pt x="215" y="58"/>
                </a:lnTo>
                <a:lnTo>
                  <a:pt x="214" y="60"/>
                </a:lnTo>
                <a:lnTo>
                  <a:pt x="216" y="59"/>
                </a:lnTo>
                <a:lnTo>
                  <a:pt x="224" y="56"/>
                </a:lnTo>
                <a:lnTo>
                  <a:pt x="234" y="55"/>
                </a:lnTo>
                <a:lnTo>
                  <a:pt x="241" y="56"/>
                </a:lnTo>
                <a:lnTo>
                  <a:pt x="248" y="58"/>
                </a:lnTo>
                <a:lnTo>
                  <a:pt x="258" y="63"/>
                </a:lnTo>
                <a:lnTo>
                  <a:pt x="266" y="70"/>
                </a:lnTo>
                <a:lnTo>
                  <a:pt x="272" y="80"/>
                </a:lnTo>
                <a:lnTo>
                  <a:pt x="275" y="91"/>
                </a:lnTo>
                <a:lnTo>
                  <a:pt x="275" y="101"/>
                </a:lnTo>
                <a:lnTo>
                  <a:pt x="273" y="112"/>
                </a:lnTo>
                <a:lnTo>
                  <a:pt x="268" y="121"/>
                </a:lnTo>
                <a:lnTo>
                  <a:pt x="261" y="130"/>
                </a:lnTo>
                <a:lnTo>
                  <a:pt x="250" y="136"/>
                </a:lnTo>
                <a:lnTo>
                  <a:pt x="249" y="137"/>
                </a:lnTo>
                <a:lnTo>
                  <a:pt x="251" y="137"/>
                </a:lnTo>
                <a:lnTo>
                  <a:pt x="263" y="144"/>
                </a:lnTo>
                <a:lnTo>
                  <a:pt x="271" y="153"/>
                </a:lnTo>
                <a:lnTo>
                  <a:pt x="276" y="165"/>
                </a:lnTo>
                <a:lnTo>
                  <a:pt x="278" y="178"/>
                </a:lnTo>
                <a:lnTo>
                  <a:pt x="275" y="191"/>
                </a:lnTo>
                <a:lnTo>
                  <a:pt x="269" y="202"/>
                </a:lnTo>
                <a:lnTo>
                  <a:pt x="260" y="212"/>
                </a:lnTo>
                <a:lnTo>
                  <a:pt x="248" y="216"/>
                </a:lnTo>
                <a:lnTo>
                  <a:pt x="236" y="219"/>
                </a:lnTo>
                <a:lnTo>
                  <a:pt x="228" y="218"/>
                </a:lnTo>
                <a:lnTo>
                  <a:pt x="221" y="216"/>
                </a:lnTo>
                <a:lnTo>
                  <a:pt x="219" y="215"/>
                </a:lnTo>
                <a:lnTo>
                  <a:pt x="220" y="217"/>
                </a:lnTo>
                <a:lnTo>
                  <a:pt x="220" y="217"/>
                </a:lnTo>
                <a:lnTo>
                  <a:pt x="223" y="227"/>
                </a:lnTo>
                <a:lnTo>
                  <a:pt x="223" y="239"/>
                </a:lnTo>
                <a:lnTo>
                  <a:pt x="221" y="249"/>
                </a:lnTo>
                <a:lnTo>
                  <a:pt x="216" y="259"/>
                </a:lnTo>
                <a:lnTo>
                  <a:pt x="209" y="267"/>
                </a:lnTo>
                <a:lnTo>
                  <a:pt x="199" y="272"/>
                </a:lnTo>
                <a:lnTo>
                  <a:pt x="190" y="275"/>
                </a:lnTo>
                <a:lnTo>
                  <a:pt x="182" y="276"/>
                </a:lnTo>
                <a:lnTo>
                  <a:pt x="174" y="275"/>
                </a:lnTo>
                <a:lnTo>
                  <a:pt x="167" y="273"/>
                </a:lnTo>
                <a:lnTo>
                  <a:pt x="158" y="269"/>
                </a:lnTo>
                <a:lnTo>
                  <a:pt x="149" y="261"/>
                </a:lnTo>
                <a:lnTo>
                  <a:pt x="143" y="251"/>
                </a:lnTo>
                <a:lnTo>
                  <a:pt x="142" y="249"/>
                </a:lnTo>
                <a:lnTo>
                  <a:pt x="142" y="251"/>
                </a:lnTo>
                <a:lnTo>
                  <a:pt x="136" y="263"/>
                </a:lnTo>
                <a:lnTo>
                  <a:pt x="126" y="271"/>
                </a:lnTo>
                <a:lnTo>
                  <a:pt x="115" y="277"/>
                </a:lnTo>
                <a:lnTo>
                  <a:pt x="102" y="278"/>
                </a:lnTo>
                <a:lnTo>
                  <a:pt x="95" y="278"/>
                </a:lnTo>
                <a:lnTo>
                  <a:pt x="88" y="276"/>
                </a:lnTo>
                <a:lnTo>
                  <a:pt x="75" y="269"/>
                </a:lnTo>
                <a:lnTo>
                  <a:pt x="67" y="260"/>
                </a:lnTo>
                <a:lnTo>
                  <a:pt x="62" y="248"/>
                </a:lnTo>
                <a:lnTo>
                  <a:pt x="60" y="235"/>
                </a:lnTo>
                <a:lnTo>
                  <a:pt x="63" y="222"/>
                </a:lnTo>
                <a:lnTo>
                  <a:pt x="64" y="220"/>
                </a:lnTo>
                <a:lnTo>
                  <a:pt x="62" y="221"/>
                </a:lnTo>
                <a:lnTo>
                  <a:pt x="53" y="223"/>
                </a:lnTo>
                <a:lnTo>
                  <a:pt x="44" y="224"/>
                </a:lnTo>
                <a:lnTo>
                  <a:pt x="37" y="224"/>
                </a:lnTo>
                <a:lnTo>
                  <a:pt x="30" y="222"/>
                </a:lnTo>
                <a:lnTo>
                  <a:pt x="20" y="216"/>
                </a:lnTo>
                <a:lnTo>
                  <a:pt x="12" y="210"/>
                </a:lnTo>
                <a:lnTo>
                  <a:pt x="7" y="199"/>
                </a:lnTo>
                <a:lnTo>
                  <a:pt x="2" y="189"/>
                </a:lnTo>
                <a:lnTo>
                  <a:pt x="2" y="178"/>
                </a:lnTo>
                <a:lnTo>
                  <a:pt x="6" y="168"/>
                </a:lnTo>
                <a:lnTo>
                  <a:pt x="6" y="168"/>
                </a:lnTo>
                <a:lnTo>
                  <a:pt x="10" y="158"/>
                </a:lnTo>
                <a:lnTo>
                  <a:pt x="18" y="150"/>
                </a:lnTo>
                <a:lnTo>
                  <a:pt x="27" y="144"/>
                </a:lnTo>
                <a:lnTo>
                  <a:pt x="27" y="144"/>
                </a:lnTo>
                <a:lnTo>
                  <a:pt x="30" y="143"/>
                </a:lnTo>
                <a:lnTo>
                  <a:pt x="27" y="143"/>
                </a:lnTo>
                <a:lnTo>
                  <a:pt x="14" y="135"/>
                </a:lnTo>
                <a:lnTo>
                  <a:pt x="6" y="123"/>
                </a:lnTo>
                <a:lnTo>
                  <a:pt x="0" y="110"/>
                </a:lnTo>
                <a:lnTo>
                  <a:pt x="1" y="94"/>
                </a:lnTo>
                <a:lnTo>
                  <a:pt x="9" y="100"/>
                </a:lnTo>
                <a:lnTo>
                  <a:pt x="26" y="110"/>
                </a:lnTo>
                <a:lnTo>
                  <a:pt x="47" y="117"/>
                </a:lnTo>
                <a:lnTo>
                  <a:pt x="69" y="121"/>
                </a:lnTo>
                <a:lnTo>
                  <a:pt x="94" y="123"/>
                </a:lnTo>
                <a:lnTo>
                  <a:pt x="82" y="98"/>
                </a:lnTo>
                <a:lnTo>
                  <a:pt x="67" y="78"/>
                </a:lnTo>
                <a:lnTo>
                  <a:pt x="50" y="62"/>
                </a:lnTo>
                <a:lnTo>
                  <a:pt x="57" y="64"/>
                </a:lnTo>
                <a:lnTo>
                  <a:pt x="59" y="65"/>
                </a:lnTo>
                <a:lnTo>
                  <a:pt x="58" y="63"/>
                </a:lnTo>
                <a:lnTo>
                  <a:pt x="55" y="51"/>
                </a:lnTo>
                <a:lnTo>
                  <a:pt x="55" y="41"/>
                </a:lnTo>
                <a:lnTo>
                  <a:pt x="57" y="31"/>
                </a:lnTo>
                <a:lnTo>
                  <a:pt x="57" y="31"/>
                </a:lnTo>
                <a:lnTo>
                  <a:pt x="62" y="21"/>
                </a:lnTo>
                <a:lnTo>
                  <a:pt x="69" y="13"/>
                </a:lnTo>
                <a:lnTo>
                  <a:pt x="78" y="7"/>
                </a:lnTo>
                <a:lnTo>
                  <a:pt x="88" y="5"/>
                </a:lnTo>
                <a:lnTo>
                  <a:pt x="96" y="3"/>
                </a:lnTo>
                <a:lnTo>
                  <a:pt x="103" y="3"/>
                </a:lnTo>
                <a:lnTo>
                  <a:pt x="111" y="6"/>
                </a:lnTo>
                <a:lnTo>
                  <a:pt x="121" y="11"/>
                </a:lnTo>
                <a:lnTo>
                  <a:pt x="128" y="18"/>
                </a:lnTo>
                <a:lnTo>
                  <a:pt x="135" y="28"/>
                </a:lnTo>
                <a:lnTo>
                  <a:pt x="135" y="28"/>
                </a:lnTo>
                <a:lnTo>
                  <a:pt x="136" y="30"/>
                </a:lnTo>
                <a:lnTo>
                  <a:pt x="136" y="28"/>
                </a:lnTo>
                <a:lnTo>
                  <a:pt x="143" y="17"/>
                </a:lnTo>
                <a:lnTo>
                  <a:pt x="152" y="8"/>
                </a:lnTo>
                <a:lnTo>
                  <a:pt x="163" y="2"/>
                </a:lnTo>
                <a:lnTo>
                  <a:pt x="175" y="0"/>
                </a:lnTo>
                <a:close/>
              </a:path>
            </a:pathLst>
          </a:custGeom>
          <a:solidFill>
            <a:schemeClr val="accent4"/>
          </a:solidFill>
          <a:ln w="0">
            <a:solidFill>
              <a:schemeClr val="accent4"/>
            </a:solidFill>
            <a:prstDash val="solid"/>
            <a:round/>
            <a:headEnd/>
            <a:tailEnd/>
          </a:ln>
        </xdr:spPr>
      </xdr:sp>
      <xdr:sp macro="" textlink="">
        <xdr:nvSpPr>
          <xdr:cNvPr id="38" name="Freeform 86"/>
          <xdr:cNvSpPr>
            <a:spLocks/>
          </xdr:cNvSpPr>
        </xdr:nvSpPr>
        <xdr:spPr bwMode="auto">
          <a:xfrm>
            <a:off x="371" y="51"/>
            <a:ext cx="18" cy="12"/>
          </a:xfrm>
          <a:custGeom>
            <a:avLst/>
            <a:gdLst>
              <a:gd name="T0" fmla="*/ 35 w 93"/>
              <a:gd name="T1" fmla="*/ 0 h 61"/>
              <a:gd name="T2" fmla="*/ 49 w 93"/>
              <a:gd name="T3" fmla="*/ 0 h 61"/>
              <a:gd name="T4" fmla="*/ 66 w 93"/>
              <a:gd name="T5" fmla="*/ 16 h 61"/>
              <a:gd name="T6" fmla="*/ 81 w 93"/>
              <a:gd name="T7" fmla="*/ 36 h 61"/>
              <a:gd name="T8" fmla="*/ 93 w 93"/>
              <a:gd name="T9" fmla="*/ 61 h 61"/>
              <a:gd name="T10" fmla="*/ 68 w 93"/>
              <a:gd name="T11" fmla="*/ 59 h 61"/>
              <a:gd name="T12" fmla="*/ 46 w 93"/>
              <a:gd name="T13" fmla="*/ 55 h 61"/>
              <a:gd name="T14" fmla="*/ 25 w 93"/>
              <a:gd name="T15" fmla="*/ 48 h 61"/>
              <a:gd name="T16" fmla="*/ 8 w 93"/>
              <a:gd name="T17" fmla="*/ 38 h 61"/>
              <a:gd name="T18" fmla="*/ 0 w 93"/>
              <a:gd name="T19" fmla="*/ 32 h 61"/>
              <a:gd name="T20" fmla="*/ 1 w 93"/>
              <a:gd name="T21" fmla="*/ 26 h 61"/>
              <a:gd name="T22" fmla="*/ 10 w 93"/>
              <a:gd name="T23" fmla="*/ 13 h 61"/>
              <a:gd name="T24" fmla="*/ 21 w 93"/>
              <a:gd name="T25" fmla="*/ 4 h 61"/>
              <a:gd name="T26" fmla="*/ 35 w 93"/>
              <a:gd name="T27" fmla="*/ 0 h 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93" h="61">
                <a:moveTo>
                  <a:pt x="35" y="0"/>
                </a:moveTo>
                <a:lnTo>
                  <a:pt x="49" y="0"/>
                </a:lnTo>
                <a:lnTo>
                  <a:pt x="66" y="16"/>
                </a:lnTo>
                <a:lnTo>
                  <a:pt x="81" y="36"/>
                </a:lnTo>
                <a:lnTo>
                  <a:pt x="93" y="61"/>
                </a:lnTo>
                <a:lnTo>
                  <a:pt x="68" y="59"/>
                </a:lnTo>
                <a:lnTo>
                  <a:pt x="46" y="55"/>
                </a:lnTo>
                <a:lnTo>
                  <a:pt x="25" y="48"/>
                </a:lnTo>
                <a:lnTo>
                  <a:pt x="8" y="38"/>
                </a:lnTo>
                <a:lnTo>
                  <a:pt x="0" y="32"/>
                </a:lnTo>
                <a:lnTo>
                  <a:pt x="1" y="26"/>
                </a:lnTo>
                <a:lnTo>
                  <a:pt x="10" y="13"/>
                </a:lnTo>
                <a:lnTo>
                  <a:pt x="21" y="4"/>
                </a:lnTo>
                <a:lnTo>
                  <a:pt x="35" y="0"/>
                </a:lnTo>
                <a:close/>
              </a:path>
            </a:pathLst>
          </a:custGeom>
          <a:solidFill>
            <a:schemeClr val="accent4">
              <a:lumMod val="75000"/>
            </a:schemeClr>
          </a:solidFill>
          <a:ln w="0">
            <a:solidFill>
              <a:schemeClr val="accent4">
                <a:lumMod val="75000"/>
              </a:schemeClr>
            </a:solidFill>
            <a:prstDash val="solid"/>
            <a:round/>
            <a:headEnd/>
            <a:tailEnd/>
          </a:ln>
        </xdr:spPr>
      </xdr:sp>
      <xdr:sp macro="" textlink="">
        <xdr:nvSpPr>
          <xdr:cNvPr id="39" name="Freeform 87"/>
          <xdr:cNvSpPr>
            <a:spLocks/>
          </xdr:cNvSpPr>
        </xdr:nvSpPr>
        <xdr:spPr bwMode="auto">
          <a:xfrm>
            <a:off x="25" y="90"/>
            <a:ext cx="16" cy="20"/>
          </a:xfrm>
          <a:custGeom>
            <a:avLst/>
            <a:gdLst>
              <a:gd name="T0" fmla="*/ 0 w 81"/>
              <a:gd name="T1" fmla="*/ 0 h 99"/>
              <a:gd name="T2" fmla="*/ 22 w 81"/>
              <a:gd name="T3" fmla="*/ 12 h 99"/>
              <a:gd name="T4" fmla="*/ 41 w 81"/>
              <a:gd name="T5" fmla="*/ 28 h 99"/>
              <a:gd name="T6" fmla="*/ 57 w 81"/>
              <a:gd name="T7" fmla="*/ 45 h 99"/>
              <a:gd name="T8" fmla="*/ 71 w 81"/>
              <a:gd name="T9" fmla="*/ 65 h 99"/>
              <a:gd name="T10" fmla="*/ 81 w 81"/>
              <a:gd name="T11" fmla="*/ 86 h 99"/>
              <a:gd name="T12" fmla="*/ 60 w 81"/>
              <a:gd name="T13" fmla="*/ 93 h 99"/>
              <a:gd name="T14" fmla="*/ 40 w 81"/>
              <a:gd name="T15" fmla="*/ 98 h 99"/>
              <a:gd name="T16" fmla="*/ 18 w 81"/>
              <a:gd name="T17" fmla="*/ 99 h 99"/>
              <a:gd name="T18" fmla="*/ 0 w 81"/>
              <a:gd name="T19" fmla="*/ 98 h 99"/>
              <a:gd name="T20" fmla="*/ 0 w 81"/>
              <a:gd name="T21" fmla="*/ 0 h 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81" h="99">
                <a:moveTo>
                  <a:pt x="0" y="0"/>
                </a:moveTo>
                <a:lnTo>
                  <a:pt x="22" y="12"/>
                </a:lnTo>
                <a:lnTo>
                  <a:pt x="41" y="28"/>
                </a:lnTo>
                <a:lnTo>
                  <a:pt x="57" y="45"/>
                </a:lnTo>
                <a:lnTo>
                  <a:pt x="71" y="65"/>
                </a:lnTo>
                <a:lnTo>
                  <a:pt x="81" y="86"/>
                </a:lnTo>
                <a:lnTo>
                  <a:pt x="60" y="93"/>
                </a:lnTo>
                <a:lnTo>
                  <a:pt x="40" y="98"/>
                </a:lnTo>
                <a:lnTo>
                  <a:pt x="18" y="99"/>
                </a:lnTo>
                <a:lnTo>
                  <a:pt x="0" y="98"/>
                </a:lnTo>
                <a:lnTo>
                  <a:pt x="0" y="0"/>
                </a:lnTo>
                <a:close/>
              </a:path>
            </a:pathLst>
          </a:custGeom>
          <a:solidFill>
            <a:schemeClr val="accent6"/>
          </a:solidFill>
          <a:ln w="0">
            <a:solidFill>
              <a:schemeClr val="accent6"/>
            </a:solidFill>
            <a:prstDash val="solid"/>
            <a:round/>
            <a:headEnd/>
            <a:tailEnd/>
          </a:ln>
        </xdr:spPr>
      </xdr:sp>
      <xdr:sp macro="" textlink="">
        <xdr:nvSpPr>
          <xdr:cNvPr id="40" name="Freeform 88"/>
          <xdr:cNvSpPr>
            <a:spLocks/>
          </xdr:cNvSpPr>
        </xdr:nvSpPr>
        <xdr:spPr bwMode="auto">
          <a:xfrm>
            <a:off x="26" y="58"/>
            <a:ext cx="23" cy="44"/>
          </a:xfrm>
          <a:custGeom>
            <a:avLst/>
            <a:gdLst>
              <a:gd name="T0" fmla="*/ 13 w 116"/>
              <a:gd name="T1" fmla="*/ 0 h 220"/>
              <a:gd name="T2" fmla="*/ 37 w 116"/>
              <a:gd name="T3" fmla="*/ 12 h 220"/>
              <a:gd name="T4" fmla="*/ 58 w 116"/>
              <a:gd name="T5" fmla="*/ 27 h 220"/>
              <a:gd name="T6" fmla="*/ 76 w 116"/>
              <a:gd name="T7" fmla="*/ 45 h 220"/>
              <a:gd name="T8" fmla="*/ 92 w 116"/>
              <a:gd name="T9" fmla="*/ 67 h 220"/>
              <a:gd name="T10" fmla="*/ 103 w 116"/>
              <a:gd name="T11" fmla="*/ 91 h 220"/>
              <a:gd name="T12" fmla="*/ 114 w 116"/>
              <a:gd name="T13" fmla="*/ 124 h 220"/>
              <a:gd name="T14" fmla="*/ 116 w 116"/>
              <a:gd name="T15" fmla="*/ 156 h 220"/>
              <a:gd name="T16" fmla="*/ 113 w 116"/>
              <a:gd name="T17" fmla="*/ 189 h 220"/>
              <a:gd name="T18" fmla="*/ 103 w 116"/>
              <a:gd name="T19" fmla="*/ 220 h 220"/>
              <a:gd name="T20" fmla="*/ 80 w 116"/>
              <a:gd name="T21" fmla="*/ 208 h 220"/>
              <a:gd name="T22" fmla="*/ 60 w 116"/>
              <a:gd name="T23" fmla="*/ 193 h 220"/>
              <a:gd name="T24" fmla="*/ 41 w 116"/>
              <a:gd name="T25" fmla="*/ 174 h 220"/>
              <a:gd name="T26" fmla="*/ 25 w 116"/>
              <a:gd name="T27" fmla="*/ 153 h 220"/>
              <a:gd name="T28" fmla="*/ 13 w 116"/>
              <a:gd name="T29" fmla="*/ 128 h 220"/>
              <a:gd name="T30" fmla="*/ 4 w 116"/>
              <a:gd name="T31" fmla="*/ 102 h 220"/>
              <a:gd name="T32" fmla="*/ 0 w 116"/>
              <a:gd name="T33" fmla="*/ 76 h 220"/>
              <a:gd name="T34" fmla="*/ 1 w 116"/>
              <a:gd name="T35" fmla="*/ 50 h 220"/>
              <a:gd name="T36" fmla="*/ 5 w 116"/>
              <a:gd name="T37" fmla="*/ 25 h 220"/>
              <a:gd name="T38" fmla="*/ 13 w 116"/>
              <a:gd name="T39" fmla="*/ 0 h 2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116" h="220">
                <a:moveTo>
                  <a:pt x="13" y="0"/>
                </a:moveTo>
                <a:lnTo>
                  <a:pt x="37" y="12"/>
                </a:lnTo>
                <a:lnTo>
                  <a:pt x="58" y="27"/>
                </a:lnTo>
                <a:lnTo>
                  <a:pt x="76" y="45"/>
                </a:lnTo>
                <a:lnTo>
                  <a:pt x="92" y="67"/>
                </a:lnTo>
                <a:lnTo>
                  <a:pt x="103" y="91"/>
                </a:lnTo>
                <a:lnTo>
                  <a:pt x="114" y="124"/>
                </a:lnTo>
                <a:lnTo>
                  <a:pt x="116" y="156"/>
                </a:lnTo>
                <a:lnTo>
                  <a:pt x="113" y="189"/>
                </a:lnTo>
                <a:lnTo>
                  <a:pt x="103" y="220"/>
                </a:lnTo>
                <a:lnTo>
                  <a:pt x="80" y="208"/>
                </a:lnTo>
                <a:lnTo>
                  <a:pt x="60" y="193"/>
                </a:lnTo>
                <a:lnTo>
                  <a:pt x="41" y="174"/>
                </a:lnTo>
                <a:lnTo>
                  <a:pt x="25" y="153"/>
                </a:lnTo>
                <a:lnTo>
                  <a:pt x="13" y="128"/>
                </a:lnTo>
                <a:lnTo>
                  <a:pt x="4" y="102"/>
                </a:lnTo>
                <a:lnTo>
                  <a:pt x="0" y="76"/>
                </a:lnTo>
                <a:lnTo>
                  <a:pt x="1" y="50"/>
                </a:lnTo>
                <a:lnTo>
                  <a:pt x="5" y="25"/>
                </a:lnTo>
                <a:lnTo>
                  <a:pt x="13" y="0"/>
                </a:lnTo>
                <a:close/>
              </a:path>
            </a:pathLst>
          </a:custGeom>
          <a:solidFill>
            <a:schemeClr val="accent6"/>
          </a:solidFill>
          <a:ln w="0">
            <a:solidFill>
              <a:schemeClr val="accent6"/>
            </a:solidFill>
            <a:prstDash val="solid"/>
            <a:round/>
            <a:headEnd/>
            <a:tailEnd/>
          </a:ln>
        </xdr:spPr>
      </xdr:sp>
      <xdr:sp macro="" textlink="">
        <xdr:nvSpPr>
          <xdr:cNvPr id="41" name="Freeform 89"/>
          <xdr:cNvSpPr>
            <a:spLocks/>
          </xdr:cNvSpPr>
        </xdr:nvSpPr>
        <xdr:spPr bwMode="auto">
          <a:xfrm>
            <a:off x="25" y="113"/>
            <a:ext cx="16" cy="16"/>
          </a:xfrm>
          <a:custGeom>
            <a:avLst/>
            <a:gdLst>
              <a:gd name="T0" fmla="*/ 17 w 81"/>
              <a:gd name="T1" fmla="*/ 0 h 83"/>
              <a:gd name="T2" fmla="*/ 39 w 81"/>
              <a:gd name="T3" fmla="*/ 2 h 83"/>
              <a:gd name="T4" fmla="*/ 60 w 81"/>
              <a:gd name="T5" fmla="*/ 6 h 83"/>
              <a:gd name="T6" fmla="*/ 81 w 81"/>
              <a:gd name="T7" fmla="*/ 14 h 83"/>
              <a:gd name="T8" fmla="*/ 68 w 81"/>
              <a:gd name="T9" fmla="*/ 40 h 83"/>
              <a:gd name="T10" fmla="*/ 49 w 81"/>
              <a:gd name="T11" fmla="*/ 64 h 83"/>
              <a:gd name="T12" fmla="*/ 26 w 81"/>
              <a:gd name="T13" fmla="*/ 83 h 83"/>
              <a:gd name="T14" fmla="*/ 16 w 81"/>
              <a:gd name="T15" fmla="*/ 73 h 83"/>
              <a:gd name="T16" fmla="*/ 7 w 81"/>
              <a:gd name="T17" fmla="*/ 61 h 83"/>
              <a:gd name="T18" fmla="*/ 2 w 81"/>
              <a:gd name="T19" fmla="*/ 46 h 83"/>
              <a:gd name="T20" fmla="*/ 0 w 81"/>
              <a:gd name="T21" fmla="*/ 30 h 83"/>
              <a:gd name="T22" fmla="*/ 0 w 81"/>
              <a:gd name="T23" fmla="*/ 1 h 83"/>
              <a:gd name="T24" fmla="*/ 17 w 81"/>
              <a:gd name="T25" fmla="*/ 0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81" h="83">
                <a:moveTo>
                  <a:pt x="17" y="0"/>
                </a:moveTo>
                <a:lnTo>
                  <a:pt x="39" y="2"/>
                </a:lnTo>
                <a:lnTo>
                  <a:pt x="60" y="6"/>
                </a:lnTo>
                <a:lnTo>
                  <a:pt x="81" y="14"/>
                </a:lnTo>
                <a:lnTo>
                  <a:pt x="68" y="40"/>
                </a:lnTo>
                <a:lnTo>
                  <a:pt x="49" y="64"/>
                </a:lnTo>
                <a:lnTo>
                  <a:pt x="26" y="83"/>
                </a:lnTo>
                <a:lnTo>
                  <a:pt x="16" y="73"/>
                </a:lnTo>
                <a:lnTo>
                  <a:pt x="7" y="61"/>
                </a:lnTo>
                <a:lnTo>
                  <a:pt x="2" y="46"/>
                </a:lnTo>
                <a:lnTo>
                  <a:pt x="0" y="30"/>
                </a:lnTo>
                <a:lnTo>
                  <a:pt x="0" y="1"/>
                </a:lnTo>
                <a:lnTo>
                  <a:pt x="17" y="0"/>
                </a:lnTo>
                <a:close/>
              </a:path>
            </a:pathLst>
          </a:custGeom>
          <a:solidFill>
            <a:schemeClr val="accent6"/>
          </a:solidFill>
          <a:ln w="0">
            <a:solidFill>
              <a:schemeClr val="accent6"/>
            </a:solidFill>
            <a:prstDash val="solid"/>
            <a:round/>
            <a:headEnd/>
            <a:tailEnd/>
          </a:ln>
        </xdr:spPr>
      </xdr:sp>
      <xdr:sp macro="" textlink="">
        <xdr:nvSpPr>
          <xdr:cNvPr id="42" name="Freeform 90"/>
          <xdr:cNvSpPr>
            <a:spLocks/>
          </xdr:cNvSpPr>
        </xdr:nvSpPr>
        <xdr:spPr bwMode="auto">
          <a:xfrm>
            <a:off x="52" y="58"/>
            <a:ext cx="24" cy="44"/>
          </a:xfrm>
          <a:custGeom>
            <a:avLst/>
            <a:gdLst>
              <a:gd name="T0" fmla="*/ 103 w 117"/>
              <a:gd name="T1" fmla="*/ 0 h 219"/>
              <a:gd name="T2" fmla="*/ 113 w 117"/>
              <a:gd name="T3" fmla="*/ 30 h 219"/>
              <a:gd name="T4" fmla="*/ 117 w 117"/>
              <a:gd name="T5" fmla="*/ 63 h 219"/>
              <a:gd name="T6" fmla="*/ 114 w 117"/>
              <a:gd name="T7" fmla="*/ 96 h 219"/>
              <a:gd name="T8" fmla="*/ 103 w 117"/>
              <a:gd name="T9" fmla="*/ 128 h 219"/>
              <a:gd name="T10" fmla="*/ 91 w 117"/>
              <a:gd name="T11" fmla="*/ 152 h 219"/>
              <a:gd name="T12" fmla="*/ 75 w 117"/>
              <a:gd name="T13" fmla="*/ 174 h 219"/>
              <a:gd name="T14" fmla="*/ 57 w 117"/>
              <a:gd name="T15" fmla="*/ 192 h 219"/>
              <a:gd name="T16" fmla="*/ 36 w 117"/>
              <a:gd name="T17" fmla="*/ 208 h 219"/>
              <a:gd name="T18" fmla="*/ 13 w 117"/>
              <a:gd name="T19" fmla="*/ 219 h 219"/>
              <a:gd name="T20" fmla="*/ 5 w 117"/>
              <a:gd name="T21" fmla="*/ 194 h 219"/>
              <a:gd name="T22" fmla="*/ 0 w 117"/>
              <a:gd name="T23" fmla="*/ 169 h 219"/>
              <a:gd name="T24" fmla="*/ 0 w 117"/>
              <a:gd name="T25" fmla="*/ 143 h 219"/>
              <a:gd name="T26" fmla="*/ 5 w 117"/>
              <a:gd name="T27" fmla="*/ 116 h 219"/>
              <a:gd name="T28" fmla="*/ 13 w 117"/>
              <a:gd name="T29" fmla="*/ 90 h 219"/>
              <a:gd name="T30" fmla="*/ 25 w 117"/>
              <a:gd name="T31" fmla="*/ 66 h 219"/>
              <a:gd name="T32" fmla="*/ 41 w 117"/>
              <a:gd name="T33" fmla="*/ 45 h 219"/>
              <a:gd name="T34" fmla="*/ 60 w 117"/>
              <a:gd name="T35" fmla="*/ 26 h 219"/>
              <a:gd name="T36" fmla="*/ 81 w 117"/>
              <a:gd name="T37" fmla="*/ 12 h 219"/>
              <a:gd name="T38" fmla="*/ 103 w 117"/>
              <a:gd name="T39" fmla="*/ 0 h 2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117" h="219">
                <a:moveTo>
                  <a:pt x="103" y="0"/>
                </a:moveTo>
                <a:lnTo>
                  <a:pt x="113" y="30"/>
                </a:lnTo>
                <a:lnTo>
                  <a:pt x="117" y="63"/>
                </a:lnTo>
                <a:lnTo>
                  <a:pt x="114" y="96"/>
                </a:lnTo>
                <a:lnTo>
                  <a:pt x="103" y="128"/>
                </a:lnTo>
                <a:lnTo>
                  <a:pt x="91" y="152"/>
                </a:lnTo>
                <a:lnTo>
                  <a:pt x="75" y="174"/>
                </a:lnTo>
                <a:lnTo>
                  <a:pt x="57" y="192"/>
                </a:lnTo>
                <a:lnTo>
                  <a:pt x="36" y="208"/>
                </a:lnTo>
                <a:lnTo>
                  <a:pt x="13" y="219"/>
                </a:lnTo>
                <a:lnTo>
                  <a:pt x="5" y="194"/>
                </a:lnTo>
                <a:lnTo>
                  <a:pt x="0" y="169"/>
                </a:lnTo>
                <a:lnTo>
                  <a:pt x="0" y="143"/>
                </a:lnTo>
                <a:lnTo>
                  <a:pt x="5" y="116"/>
                </a:lnTo>
                <a:lnTo>
                  <a:pt x="13" y="90"/>
                </a:lnTo>
                <a:lnTo>
                  <a:pt x="25" y="66"/>
                </a:lnTo>
                <a:lnTo>
                  <a:pt x="41" y="45"/>
                </a:lnTo>
                <a:lnTo>
                  <a:pt x="60" y="26"/>
                </a:lnTo>
                <a:lnTo>
                  <a:pt x="81" y="12"/>
                </a:lnTo>
                <a:lnTo>
                  <a:pt x="103" y="0"/>
                </a:lnTo>
                <a:close/>
              </a:path>
            </a:pathLst>
          </a:custGeom>
          <a:solidFill>
            <a:schemeClr val="accent6"/>
          </a:solidFill>
          <a:ln w="0">
            <a:solidFill>
              <a:schemeClr val="accent6"/>
            </a:solidFill>
            <a:prstDash val="solid"/>
            <a:round/>
            <a:headEnd/>
            <a:tailEnd/>
          </a:ln>
        </xdr:spPr>
      </xdr:sp>
      <xdr:sp macro="" textlink="">
        <xdr:nvSpPr>
          <xdr:cNvPr id="43" name="Freeform 91"/>
          <xdr:cNvSpPr>
            <a:spLocks/>
          </xdr:cNvSpPr>
        </xdr:nvSpPr>
        <xdr:spPr bwMode="auto">
          <a:xfrm>
            <a:off x="60" y="87"/>
            <a:ext cx="44" cy="23"/>
          </a:xfrm>
          <a:custGeom>
            <a:avLst/>
            <a:gdLst>
              <a:gd name="T0" fmla="*/ 154 w 220"/>
              <a:gd name="T1" fmla="*/ 0 h 117"/>
              <a:gd name="T2" fmla="*/ 177 w 220"/>
              <a:gd name="T3" fmla="*/ 2 h 117"/>
              <a:gd name="T4" fmla="*/ 199 w 220"/>
              <a:gd name="T5" fmla="*/ 6 h 117"/>
              <a:gd name="T6" fmla="*/ 220 w 220"/>
              <a:gd name="T7" fmla="*/ 14 h 117"/>
              <a:gd name="T8" fmla="*/ 212 w 220"/>
              <a:gd name="T9" fmla="*/ 28 h 117"/>
              <a:gd name="T10" fmla="*/ 204 w 220"/>
              <a:gd name="T11" fmla="*/ 43 h 117"/>
              <a:gd name="T12" fmla="*/ 198 w 220"/>
              <a:gd name="T13" fmla="*/ 43 h 117"/>
              <a:gd name="T14" fmla="*/ 182 w 220"/>
              <a:gd name="T15" fmla="*/ 44 h 117"/>
              <a:gd name="T16" fmla="*/ 166 w 220"/>
              <a:gd name="T17" fmla="*/ 46 h 117"/>
              <a:gd name="T18" fmla="*/ 154 w 220"/>
              <a:gd name="T19" fmla="*/ 49 h 117"/>
              <a:gd name="T20" fmla="*/ 144 w 220"/>
              <a:gd name="T21" fmla="*/ 54 h 117"/>
              <a:gd name="T22" fmla="*/ 139 w 220"/>
              <a:gd name="T23" fmla="*/ 57 h 117"/>
              <a:gd name="T24" fmla="*/ 138 w 220"/>
              <a:gd name="T25" fmla="*/ 60 h 117"/>
              <a:gd name="T26" fmla="*/ 137 w 220"/>
              <a:gd name="T27" fmla="*/ 65 h 117"/>
              <a:gd name="T28" fmla="*/ 137 w 220"/>
              <a:gd name="T29" fmla="*/ 70 h 117"/>
              <a:gd name="T30" fmla="*/ 137 w 220"/>
              <a:gd name="T31" fmla="*/ 70 h 117"/>
              <a:gd name="T32" fmla="*/ 145 w 220"/>
              <a:gd name="T33" fmla="*/ 81 h 117"/>
              <a:gd name="T34" fmla="*/ 153 w 220"/>
              <a:gd name="T35" fmla="*/ 92 h 117"/>
              <a:gd name="T36" fmla="*/ 142 w 220"/>
              <a:gd name="T37" fmla="*/ 98 h 117"/>
              <a:gd name="T38" fmla="*/ 128 w 220"/>
              <a:gd name="T39" fmla="*/ 104 h 117"/>
              <a:gd name="T40" fmla="*/ 97 w 220"/>
              <a:gd name="T41" fmla="*/ 114 h 117"/>
              <a:gd name="T42" fmla="*/ 66 w 220"/>
              <a:gd name="T43" fmla="*/ 117 h 117"/>
              <a:gd name="T44" fmla="*/ 43 w 220"/>
              <a:gd name="T45" fmla="*/ 116 h 117"/>
              <a:gd name="T46" fmla="*/ 21 w 220"/>
              <a:gd name="T47" fmla="*/ 110 h 117"/>
              <a:gd name="T48" fmla="*/ 0 w 220"/>
              <a:gd name="T49" fmla="*/ 103 h 117"/>
              <a:gd name="T50" fmla="*/ 11 w 220"/>
              <a:gd name="T51" fmla="*/ 80 h 117"/>
              <a:gd name="T52" fmla="*/ 27 w 220"/>
              <a:gd name="T53" fmla="*/ 59 h 117"/>
              <a:gd name="T54" fmla="*/ 46 w 220"/>
              <a:gd name="T55" fmla="*/ 41 h 117"/>
              <a:gd name="T56" fmla="*/ 67 w 220"/>
              <a:gd name="T57" fmla="*/ 25 h 117"/>
              <a:gd name="T58" fmla="*/ 91 w 220"/>
              <a:gd name="T59" fmla="*/ 12 h 117"/>
              <a:gd name="T60" fmla="*/ 123 w 220"/>
              <a:gd name="T61" fmla="*/ 3 h 117"/>
              <a:gd name="T62" fmla="*/ 154 w 220"/>
              <a:gd name="T63" fmla="*/ 0 h 11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220" h="117">
                <a:moveTo>
                  <a:pt x="154" y="0"/>
                </a:moveTo>
                <a:lnTo>
                  <a:pt x="177" y="2"/>
                </a:lnTo>
                <a:lnTo>
                  <a:pt x="199" y="6"/>
                </a:lnTo>
                <a:lnTo>
                  <a:pt x="220" y="14"/>
                </a:lnTo>
                <a:lnTo>
                  <a:pt x="212" y="28"/>
                </a:lnTo>
                <a:lnTo>
                  <a:pt x="204" y="43"/>
                </a:lnTo>
                <a:lnTo>
                  <a:pt x="198" y="43"/>
                </a:lnTo>
                <a:lnTo>
                  <a:pt x="182" y="44"/>
                </a:lnTo>
                <a:lnTo>
                  <a:pt x="166" y="46"/>
                </a:lnTo>
                <a:lnTo>
                  <a:pt x="154" y="49"/>
                </a:lnTo>
                <a:lnTo>
                  <a:pt x="144" y="54"/>
                </a:lnTo>
                <a:lnTo>
                  <a:pt x="139" y="57"/>
                </a:lnTo>
                <a:lnTo>
                  <a:pt x="138" y="60"/>
                </a:lnTo>
                <a:lnTo>
                  <a:pt x="137" y="65"/>
                </a:lnTo>
                <a:lnTo>
                  <a:pt x="137" y="70"/>
                </a:lnTo>
                <a:lnTo>
                  <a:pt x="137" y="70"/>
                </a:lnTo>
                <a:lnTo>
                  <a:pt x="145" y="81"/>
                </a:lnTo>
                <a:lnTo>
                  <a:pt x="153" y="92"/>
                </a:lnTo>
                <a:lnTo>
                  <a:pt x="142" y="98"/>
                </a:lnTo>
                <a:lnTo>
                  <a:pt x="128" y="104"/>
                </a:lnTo>
                <a:lnTo>
                  <a:pt x="97" y="114"/>
                </a:lnTo>
                <a:lnTo>
                  <a:pt x="66" y="117"/>
                </a:lnTo>
                <a:lnTo>
                  <a:pt x="43" y="116"/>
                </a:lnTo>
                <a:lnTo>
                  <a:pt x="21" y="110"/>
                </a:lnTo>
                <a:lnTo>
                  <a:pt x="0" y="103"/>
                </a:lnTo>
                <a:lnTo>
                  <a:pt x="11" y="80"/>
                </a:lnTo>
                <a:lnTo>
                  <a:pt x="27" y="59"/>
                </a:lnTo>
                <a:lnTo>
                  <a:pt x="46" y="41"/>
                </a:lnTo>
                <a:lnTo>
                  <a:pt x="67" y="25"/>
                </a:lnTo>
                <a:lnTo>
                  <a:pt x="91" y="12"/>
                </a:lnTo>
                <a:lnTo>
                  <a:pt x="123" y="3"/>
                </a:lnTo>
                <a:lnTo>
                  <a:pt x="154" y="0"/>
                </a:lnTo>
                <a:close/>
              </a:path>
            </a:pathLst>
          </a:custGeom>
          <a:solidFill>
            <a:schemeClr val="accent6"/>
          </a:solidFill>
          <a:ln w="0">
            <a:solidFill>
              <a:schemeClr val="accent6"/>
            </a:solidFill>
            <a:prstDash val="solid"/>
            <a:round/>
            <a:headEnd/>
            <a:tailEnd/>
          </a:ln>
        </xdr:spPr>
      </xdr:sp>
      <xdr:sp macro="" textlink="">
        <xdr:nvSpPr>
          <xdr:cNvPr id="44" name="Freeform 92"/>
          <xdr:cNvSpPr>
            <a:spLocks/>
          </xdr:cNvSpPr>
        </xdr:nvSpPr>
        <xdr:spPr bwMode="auto">
          <a:xfrm>
            <a:off x="52" y="121"/>
            <a:ext cx="17" cy="11"/>
          </a:xfrm>
          <a:custGeom>
            <a:avLst/>
            <a:gdLst>
              <a:gd name="T0" fmla="*/ 13 w 84"/>
              <a:gd name="T1" fmla="*/ 0 h 55"/>
              <a:gd name="T2" fmla="*/ 40 w 84"/>
              <a:gd name="T3" fmla="*/ 13 h 55"/>
              <a:gd name="T4" fmla="*/ 64 w 84"/>
              <a:gd name="T5" fmla="*/ 32 h 55"/>
              <a:gd name="T6" fmla="*/ 84 w 84"/>
              <a:gd name="T7" fmla="*/ 55 h 55"/>
              <a:gd name="T8" fmla="*/ 0 w 84"/>
              <a:gd name="T9" fmla="*/ 55 h 55"/>
              <a:gd name="T10" fmla="*/ 5 w 84"/>
              <a:gd name="T11" fmla="*/ 27 h 55"/>
              <a:gd name="T12" fmla="*/ 13 w 84"/>
              <a:gd name="T13" fmla="*/ 0 h 55"/>
            </a:gdLst>
            <a:ahLst/>
            <a:cxnLst>
              <a:cxn ang="0">
                <a:pos x="T0" y="T1"/>
              </a:cxn>
              <a:cxn ang="0">
                <a:pos x="T2" y="T3"/>
              </a:cxn>
              <a:cxn ang="0">
                <a:pos x="T4" y="T5"/>
              </a:cxn>
              <a:cxn ang="0">
                <a:pos x="T6" y="T7"/>
              </a:cxn>
              <a:cxn ang="0">
                <a:pos x="T8" y="T9"/>
              </a:cxn>
              <a:cxn ang="0">
                <a:pos x="T10" y="T11"/>
              </a:cxn>
              <a:cxn ang="0">
                <a:pos x="T12" y="T13"/>
              </a:cxn>
            </a:cxnLst>
            <a:rect l="0" t="0" r="r" b="b"/>
            <a:pathLst>
              <a:path w="84" h="55">
                <a:moveTo>
                  <a:pt x="13" y="0"/>
                </a:moveTo>
                <a:lnTo>
                  <a:pt x="40" y="13"/>
                </a:lnTo>
                <a:lnTo>
                  <a:pt x="64" y="32"/>
                </a:lnTo>
                <a:lnTo>
                  <a:pt x="84" y="55"/>
                </a:lnTo>
                <a:lnTo>
                  <a:pt x="0" y="55"/>
                </a:lnTo>
                <a:lnTo>
                  <a:pt x="5" y="27"/>
                </a:lnTo>
                <a:lnTo>
                  <a:pt x="13" y="0"/>
                </a:lnTo>
                <a:close/>
              </a:path>
            </a:pathLst>
          </a:custGeom>
          <a:solidFill>
            <a:schemeClr val="accent6"/>
          </a:solidFill>
          <a:ln w="0">
            <a:solidFill>
              <a:schemeClr val="accent6"/>
            </a:solidFill>
            <a:prstDash val="solid"/>
            <a:round/>
            <a:headEnd/>
            <a:tailEnd/>
          </a:ln>
        </xdr:spPr>
      </xdr:sp>
      <xdr:sp macro="" textlink="">
        <xdr:nvSpPr>
          <xdr:cNvPr id="45" name="Freeform 93"/>
          <xdr:cNvSpPr>
            <a:spLocks/>
          </xdr:cNvSpPr>
        </xdr:nvSpPr>
        <xdr:spPr bwMode="auto">
          <a:xfrm>
            <a:off x="33" y="121"/>
            <a:ext cx="16" cy="11"/>
          </a:xfrm>
          <a:custGeom>
            <a:avLst/>
            <a:gdLst>
              <a:gd name="T0" fmla="*/ 67 w 80"/>
              <a:gd name="T1" fmla="*/ 0 h 55"/>
              <a:gd name="T2" fmla="*/ 76 w 80"/>
              <a:gd name="T3" fmla="*/ 27 h 55"/>
              <a:gd name="T4" fmla="*/ 80 w 80"/>
              <a:gd name="T5" fmla="*/ 55 h 55"/>
              <a:gd name="T6" fmla="*/ 25 w 80"/>
              <a:gd name="T7" fmla="*/ 55 h 55"/>
              <a:gd name="T8" fmla="*/ 11 w 80"/>
              <a:gd name="T9" fmla="*/ 54 h 55"/>
              <a:gd name="T10" fmla="*/ 0 w 80"/>
              <a:gd name="T11" fmla="*/ 50 h 55"/>
              <a:gd name="T12" fmla="*/ 19 w 80"/>
              <a:gd name="T13" fmla="*/ 29 h 55"/>
              <a:gd name="T14" fmla="*/ 41 w 80"/>
              <a:gd name="T15" fmla="*/ 12 h 55"/>
              <a:gd name="T16" fmla="*/ 67 w 80"/>
              <a:gd name="T17" fmla="*/ 0 h 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0" h="55">
                <a:moveTo>
                  <a:pt x="67" y="0"/>
                </a:moveTo>
                <a:lnTo>
                  <a:pt x="76" y="27"/>
                </a:lnTo>
                <a:lnTo>
                  <a:pt x="80" y="55"/>
                </a:lnTo>
                <a:lnTo>
                  <a:pt x="25" y="55"/>
                </a:lnTo>
                <a:lnTo>
                  <a:pt x="11" y="54"/>
                </a:lnTo>
                <a:lnTo>
                  <a:pt x="0" y="50"/>
                </a:lnTo>
                <a:lnTo>
                  <a:pt x="19" y="29"/>
                </a:lnTo>
                <a:lnTo>
                  <a:pt x="41" y="12"/>
                </a:lnTo>
                <a:lnTo>
                  <a:pt x="67" y="0"/>
                </a:lnTo>
                <a:close/>
              </a:path>
            </a:pathLst>
          </a:custGeom>
          <a:solidFill>
            <a:schemeClr val="accent6"/>
          </a:solidFill>
          <a:ln w="0">
            <a:solidFill>
              <a:schemeClr val="accent6"/>
            </a:solidFill>
            <a:prstDash val="solid"/>
            <a:round/>
            <a:headEnd/>
            <a:tailEnd/>
          </a:ln>
        </xdr:spPr>
      </xdr:sp>
      <xdr:sp macro="" textlink="">
        <xdr:nvSpPr>
          <xdr:cNvPr id="46" name="Freeform 94"/>
          <xdr:cNvSpPr>
            <a:spLocks/>
          </xdr:cNvSpPr>
        </xdr:nvSpPr>
        <xdr:spPr bwMode="auto">
          <a:xfrm>
            <a:off x="60" y="113"/>
            <a:ext cx="43" cy="19"/>
          </a:xfrm>
          <a:custGeom>
            <a:avLst/>
            <a:gdLst>
              <a:gd name="T0" fmla="*/ 65 w 214"/>
              <a:gd name="T1" fmla="*/ 0 h 96"/>
              <a:gd name="T2" fmla="*/ 97 w 214"/>
              <a:gd name="T3" fmla="*/ 3 h 96"/>
              <a:gd name="T4" fmla="*/ 128 w 214"/>
              <a:gd name="T5" fmla="*/ 13 h 96"/>
              <a:gd name="T6" fmla="*/ 151 w 214"/>
              <a:gd name="T7" fmla="*/ 25 h 96"/>
              <a:gd name="T8" fmla="*/ 171 w 214"/>
              <a:gd name="T9" fmla="*/ 39 h 96"/>
              <a:gd name="T10" fmla="*/ 188 w 214"/>
              <a:gd name="T11" fmla="*/ 56 h 96"/>
              <a:gd name="T12" fmla="*/ 203 w 214"/>
              <a:gd name="T13" fmla="*/ 75 h 96"/>
              <a:gd name="T14" fmla="*/ 214 w 214"/>
              <a:gd name="T15" fmla="*/ 96 h 96"/>
              <a:gd name="T16" fmla="*/ 74 w 214"/>
              <a:gd name="T17" fmla="*/ 96 h 96"/>
              <a:gd name="T18" fmla="*/ 50 w 214"/>
              <a:gd name="T19" fmla="*/ 80 h 96"/>
              <a:gd name="T20" fmla="*/ 29 w 214"/>
              <a:gd name="T21" fmla="*/ 61 h 96"/>
              <a:gd name="T22" fmla="*/ 12 w 214"/>
              <a:gd name="T23" fmla="*/ 38 h 96"/>
              <a:gd name="T24" fmla="*/ 0 w 214"/>
              <a:gd name="T25" fmla="*/ 13 h 96"/>
              <a:gd name="T26" fmla="*/ 21 w 214"/>
              <a:gd name="T27" fmla="*/ 5 h 96"/>
              <a:gd name="T28" fmla="*/ 42 w 214"/>
              <a:gd name="T29" fmla="*/ 1 h 96"/>
              <a:gd name="T30" fmla="*/ 65 w 214"/>
              <a:gd name="T31" fmla="*/ 0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214" h="96">
                <a:moveTo>
                  <a:pt x="65" y="0"/>
                </a:moveTo>
                <a:lnTo>
                  <a:pt x="97" y="3"/>
                </a:lnTo>
                <a:lnTo>
                  <a:pt x="128" y="13"/>
                </a:lnTo>
                <a:lnTo>
                  <a:pt x="151" y="25"/>
                </a:lnTo>
                <a:lnTo>
                  <a:pt x="171" y="39"/>
                </a:lnTo>
                <a:lnTo>
                  <a:pt x="188" y="56"/>
                </a:lnTo>
                <a:lnTo>
                  <a:pt x="203" y="75"/>
                </a:lnTo>
                <a:lnTo>
                  <a:pt x="214" y="96"/>
                </a:lnTo>
                <a:lnTo>
                  <a:pt x="74" y="96"/>
                </a:lnTo>
                <a:lnTo>
                  <a:pt x="50" y="80"/>
                </a:lnTo>
                <a:lnTo>
                  <a:pt x="29" y="61"/>
                </a:lnTo>
                <a:lnTo>
                  <a:pt x="12" y="38"/>
                </a:lnTo>
                <a:lnTo>
                  <a:pt x="0" y="13"/>
                </a:lnTo>
                <a:lnTo>
                  <a:pt x="21" y="5"/>
                </a:lnTo>
                <a:lnTo>
                  <a:pt x="42" y="1"/>
                </a:lnTo>
                <a:lnTo>
                  <a:pt x="65" y="0"/>
                </a:lnTo>
                <a:close/>
              </a:path>
            </a:pathLst>
          </a:custGeom>
          <a:solidFill>
            <a:schemeClr val="accent6"/>
          </a:solidFill>
          <a:ln w="0">
            <a:solidFill>
              <a:schemeClr val="accent6"/>
            </a:solidFill>
            <a:prstDash val="solid"/>
            <a:round/>
            <a:headEnd/>
            <a:tailEnd/>
          </a:ln>
        </xdr:spPr>
      </xdr:sp>
      <xdr:sp macro="" textlink="">
        <xdr:nvSpPr>
          <xdr:cNvPr id="47" name="Freeform 95"/>
          <xdr:cNvSpPr>
            <a:spLocks/>
          </xdr:cNvSpPr>
        </xdr:nvSpPr>
        <xdr:spPr bwMode="auto">
          <a:xfrm>
            <a:off x="45" y="106"/>
            <a:ext cx="11" cy="11"/>
          </a:xfrm>
          <a:custGeom>
            <a:avLst/>
            <a:gdLst>
              <a:gd name="T0" fmla="*/ 29 w 57"/>
              <a:gd name="T1" fmla="*/ 0 h 56"/>
              <a:gd name="T2" fmla="*/ 40 w 57"/>
              <a:gd name="T3" fmla="*/ 2 h 56"/>
              <a:gd name="T4" fmla="*/ 49 w 57"/>
              <a:gd name="T5" fmla="*/ 8 h 56"/>
              <a:gd name="T6" fmla="*/ 55 w 57"/>
              <a:gd name="T7" fmla="*/ 16 h 56"/>
              <a:gd name="T8" fmla="*/ 57 w 57"/>
              <a:gd name="T9" fmla="*/ 28 h 56"/>
              <a:gd name="T10" fmla="*/ 55 w 57"/>
              <a:gd name="T11" fmla="*/ 39 h 56"/>
              <a:gd name="T12" fmla="*/ 49 w 57"/>
              <a:gd name="T13" fmla="*/ 48 h 56"/>
              <a:gd name="T14" fmla="*/ 40 w 57"/>
              <a:gd name="T15" fmla="*/ 54 h 56"/>
              <a:gd name="T16" fmla="*/ 29 w 57"/>
              <a:gd name="T17" fmla="*/ 56 h 56"/>
              <a:gd name="T18" fmla="*/ 18 w 57"/>
              <a:gd name="T19" fmla="*/ 54 h 56"/>
              <a:gd name="T20" fmla="*/ 8 w 57"/>
              <a:gd name="T21" fmla="*/ 48 h 56"/>
              <a:gd name="T22" fmla="*/ 3 w 57"/>
              <a:gd name="T23" fmla="*/ 39 h 56"/>
              <a:gd name="T24" fmla="*/ 0 w 57"/>
              <a:gd name="T25" fmla="*/ 28 h 56"/>
              <a:gd name="T26" fmla="*/ 3 w 57"/>
              <a:gd name="T27" fmla="*/ 16 h 56"/>
              <a:gd name="T28" fmla="*/ 8 w 57"/>
              <a:gd name="T29" fmla="*/ 8 h 56"/>
              <a:gd name="T30" fmla="*/ 18 w 57"/>
              <a:gd name="T31" fmla="*/ 2 h 56"/>
              <a:gd name="T32" fmla="*/ 29 w 57"/>
              <a:gd name="T33" fmla="*/ 0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7" h="56">
                <a:moveTo>
                  <a:pt x="29" y="0"/>
                </a:moveTo>
                <a:lnTo>
                  <a:pt x="40" y="2"/>
                </a:lnTo>
                <a:lnTo>
                  <a:pt x="49" y="8"/>
                </a:lnTo>
                <a:lnTo>
                  <a:pt x="55" y="16"/>
                </a:lnTo>
                <a:lnTo>
                  <a:pt x="57" y="28"/>
                </a:lnTo>
                <a:lnTo>
                  <a:pt x="55" y="39"/>
                </a:lnTo>
                <a:lnTo>
                  <a:pt x="49" y="48"/>
                </a:lnTo>
                <a:lnTo>
                  <a:pt x="40" y="54"/>
                </a:lnTo>
                <a:lnTo>
                  <a:pt x="29" y="56"/>
                </a:lnTo>
                <a:lnTo>
                  <a:pt x="18" y="54"/>
                </a:lnTo>
                <a:lnTo>
                  <a:pt x="8" y="48"/>
                </a:lnTo>
                <a:lnTo>
                  <a:pt x="3" y="39"/>
                </a:lnTo>
                <a:lnTo>
                  <a:pt x="0" y="28"/>
                </a:lnTo>
                <a:lnTo>
                  <a:pt x="3" y="16"/>
                </a:lnTo>
                <a:lnTo>
                  <a:pt x="8" y="8"/>
                </a:lnTo>
                <a:lnTo>
                  <a:pt x="18" y="2"/>
                </a:lnTo>
                <a:lnTo>
                  <a:pt x="29" y="0"/>
                </a:lnTo>
                <a:close/>
              </a:path>
            </a:pathLst>
          </a:custGeom>
          <a:solidFill>
            <a:schemeClr val="accent6"/>
          </a:solidFill>
          <a:ln w="0">
            <a:solidFill>
              <a:schemeClr val="accent6"/>
            </a:solidFill>
            <a:prstDash val="solid"/>
            <a:round/>
            <a:headEnd/>
            <a:tailEnd/>
          </a:ln>
        </xdr:spPr>
      </xdr:sp>
      <xdr:sp macro="" textlink="">
        <xdr:nvSpPr>
          <xdr:cNvPr id="48" name="Freeform 96"/>
          <xdr:cNvSpPr>
            <a:spLocks/>
          </xdr:cNvSpPr>
        </xdr:nvSpPr>
        <xdr:spPr bwMode="auto">
          <a:xfrm>
            <a:off x="571" y="32"/>
            <a:ext cx="81" cy="79"/>
          </a:xfrm>
          <a:custGeom>
            <a:avLst/>
            <a:gdLst>
              <a:gd name="T0" fmla="*/ 200 w 406"/>
              <a:gd name="T1" fmla="*/ 7 h 392"/>
              <a:gd name="T2" fmla="*/ 197 w 406"/>
              <a:gd name="T3" fmla="*/ 61 h 392"/>
              <a:gd name="T4" fmla="*/ 183 w 406"/>
              <a:gd name="T5" fmla="*/ 102 h 392"/>
              <a:gd name="T6" fmla="*/ 199 w 406"/>
              <a:gd name="T7" fmla="*/ 107 h 392"/>
              <a:gd name="T8" fmla="*/ 218 w 406"/>
              <a:gd name="T9" fmla="*/ 44 h 392"/>
              <a:gd name="T10" fmla="*/ 259 w 406"/>
              <a:gd name="T11" fmla="*/ 0 h 392"/>
              <a:gd name="T12" fmla="*/ 315 w 406"/>
              <a:gd name="T13" fmla="*/ 41 h 392"/>
              <a:gd name="T14" fmla="*/ 276 w 406"/>
              <a:gd name="T15" fmla="*/ 94 h 392"/>
              <a:gd name="T16" fmla="*/ 216 w 406"/>
              <a:gd name="T17" fmla="*/ 122 h 392"/>
              <a:gd name="T18" fmla="*/ 243 w 406"/>
              <a:gd name="T19" fmla="*/ 128 h 392"/>
              <a:gd name="T20" fmla="*/ 307 w 406"/>
              <a:gd name="T21" fmla="*/ 105 h 392"/>
              <a:gd name="T22" fmla="*/ 365 w 406"/>
              <a:gd name="T23" fmla="*/ 115 h 392"/>
              <a:gd name="T24" fmla="*/ 387 w 406"/>
              <a:gd name="T25" fmla="*/ 157 h 392"/>
              <a:gd name="T26" fmla="*/ 312 w 406"/>
              <a:gd name="T27" fmla="*/ 187 h 392"/>
              <a:gd name="T28" fmla="*/ 249 w 406"/>
              <a:gd name="T29" fmla="*/ 176 h 392"/>
              <a:gd name="T30" fmla="*/ 224 w 406"/>
              <a:gd name="T31" fmla="*/ 173 h 392"/>
              <a:gd name="T32" fmla="*/ 242 w 406"/>
              <a:gd name="T33" fmla="*/ 187 h 392"/>
              <a:gd name="T34" fmla="*/ 303 w 406"/>
              <a:gd name="T35" fmla="*/ 217 h 392"/>
              <a:gd name="T36" fmla="*/ 346 w 406"/>
              <a:gd name="T37" fmla="*/ 284 h 392"/>
              <a:gd name="T38" fmla="*/ 315 w 406"/>
              <a:gd name="T39" fmla="*/ 308 h 392"/>
              <a:gd name="T40" fmla="*/ 250 w 406"/>
              <a:gd name="T41" fmla="*/ 278 h 392"/>
              <a:gd name="T42" fmla="*/ 211 w 406"/>
              <a:gd name="T43" fmla="*/ 221 h 392"/>
              <a:gd name="T44" fmla="*/ 185 w 406"/>
              <a:gd name="T45" fmla="*/ 208 h 392"/>
              <a:gd name="T46" fmla="*/ 218 w 406"/>
              <a:gd name="T47" fmla="*/ 269 h 392"/>
              <a:gd name="T48" fmla="*/ 216 w 406"/>
              <a:gd name="T49" fmla="*/ 346 h 392"/>
              <a:gd name="T50" fmla="*/ 171 w 406"/>
              <a:gd name="T51" fmla="*/ 373 h 392"/>
              <a:gd name="T52" fmla="*/ 142 w 406"/>
              <a:gd name="T53" fmla="*/ 298 h 392"/>
              <a:gd name="T54" fmla="*/ 154 w 406"/>
              <a:gd name="T55" fmla="*/ 229 h 392"/>
              <a:gd name="T56" fmla="*/ 155 w 406"/>
              <a:gd name="T57" fmla="*/ 207 h 392"/>
              <a:gd name="T58" fmla="*/ 142 w 406"/>
              <a:gd name="T59" fmla="*/ 225 h 392"/>
              <a:gd name="T60" fmla="*/ 111 w 406"/>
              <a:gd name="T61" fmla="*/ 289 h 392"/>
              <a:gd name="T62" fmla="*/ 44 w 406"/>
              <a:gd name="T63" fmla="*/ 331 h 392"/>
              <a:gd name="T64" fmla="*/ 23 w 406"/>
              <a:gd name="T65" fmla="*/ 283 h 392"/>
              <a:gd name="T66" fmla="*/ 68 w 406"/>
              <a:gd name="T67" fmla="*/ 219 h 392"/>
              <a:gd name="T68" fmla="*/ 129 w 406"/>
              <a:gd name="T69" fmla="*/ 191 h 392"/>
              <a:gd name="T70" fmla="*/ 101 w 406"/>
              <a:gd name="T71" fmla="*/ 184 h 392"/>
              <a:gd name="T72" fmla="*/ 35 w 406"/>
              <a:gd name="T73" fmla="*/ 207 h 392"/>
              <a:gd name="T74" fmla="*/ 14 w 406"/>
              <a:gd name="T75" fmla="*/ 201 h 392"/>
              <a:gd name="T76" fmla="*/ 8 w 406"/>
              <a:gd name="T77" fmla="*/ 147 h 392"/>
              <a:gd name="T78" fmla="*/ 40 w 406"/>
              <a:gd name="T79" fmla="*/ 126 h 392"/>
              <a:gd name="T80" fmla="*/ 117 w 406"/>
              <a:gd name="T81" fmla="*/ 150 h 392"/>
              <a:gd name="T82" fmla="*/ 121 w 406"/>
              <a:gd name="T83" fmla="*/ 133 h 392"/>
              <a:gd name="T84" fmla="*/ 79 w 406"/>
              <a:gd name="T85" fmla="*/ 120 h 392"/>
              <a:gd name="T86" fmla="*/ 34 w 406"/>
              <a:gd name="T87" fmla="*/ 92 h 392"/>
              <a:gd name="T88" fmla="*/ 44 w 406"/>
              <a:gd name="T89" fmla="*/ 55 h 392"/>
              <a:gd name="T90" fmla="*/ 47 w 406"/>
              <a:gd name="T91" fmla="*/ 34 h 392"/>
              <a:gd name="T92" fmla="*/ 0 w 406"/>
              <a:gd name="T93" fmla="*/ 2 h 392"/>
              <a:gd name="T94" fmla="*/ 50 w 406"/>
              <a:gd name="T95" fmla="*/ 11 h 392"/>
              <a:gd name="T96" fmla="*/ 108 w 406"/>
              <a:gd name="T97" fmla="*/ 52 h 392"/>
              <a:gd name="T98" fmla="*/ 137 w 406"/>
              <a:gd name="T99" fmla="*/ 113 h 392"/>
              <a:gd name="T100" fmla="*/ 143 w 406"/>
              <a:gd name="T101" fmla="*/ 86 h 392"/>
              <a:gd name="T102" fmla="*/ 121 w 406"/>
              <a:gd name="T103" fmla="*/ 21 h 3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06" h="392">
                <a:moveTo>
                  <a:pt x="121" y="0"/>
                </a:moveTo>
                <a:lnTo>
                  <a:pt x="199" y="0"/>
                </a:lnTo>
                <a:lnTo>
                  <a:pt x="200" y="7"/>
                </a:lnTo>
                <a:lnTo>
                  <a:pt x="201" y="15"/>
                </a:lnTo>
                <a:lnTo>
                  <a:pt x="201" y="39"/>
                </a:lnTo>
                <a:lnTo>
                  <a:pt x="197" y="61"/>
                </a:lnTo>
                <a:lnTo>
                  <a:pt x="190" y="81"/>
                </a:lnTo>
                <a:lnTo>
                  <a:pt x="178" y="101"/>
                </a:lnTo>
                <a:lnTo>
                  <a:pt x="183" y="102"/>
                </a:lnTo>
                <a:lnTo>
                  <a:pt x="188" y="103"/>
                </a:lnTo>
                <a:lnTo>
                  <a:pt x="194" y="105"/>
                </a:lnTo>
                <a:lnTo>
                  <a:pt x="199" y="107"/>
                </a:lnTo>
                <a:lnTo>
                  <a:pt x="201" y="86"/>
                </a:lnTo>
                <a:lnTo>
                  <a:pt x="207" y="64"/>
                </a:lnTo>
                <a:lnTo>
                  <a:pt x="218" y="44"/>
                </a:lnTo>
                <a:lnTo>
                  <a:pt x="231" y="25"/>
                </a:lnTo>
                <a:lnTo>
                  <a:pt x="245" y="12"/>
                </a:lnTo>
                <a:lnTo>
                  <a:pt x="259" y="0"/>
                </a:lnTo>
                <a:lnTo>
                  <a:pt x="325" y="0"/>
                </a:lnTo>
                <a:lnTo>
                  <a:pt x="322" y="21"/>
                </a:lnTo>
                <a:lnTo>
                  <a:pt x="315" y="41"/>
                </a:lnTo>
                <a:lnTo>
                  <a:pt x="305" y="59"/>
                </a:lnTo>
                <a:lnTo>
                  <a:pt x="293" y="77"/>
                </a:lnTo>
                <a:lnTo>
                  <a:pt x="276" y="94"/>
                </a:lnTo>
                <a:lnTo>
                  <a:pt x="257" y="106"/>
                </a:lnTo>
                <a:lnTo>
                  <a:pt x="236" y="116"/>
                </a:lnTo>
                <a:lnTo>
                  <a:pt x="216" y="122"/>
                </a:lnTo>
                <a:lnTo>
                  <a:pt x="221" y="131"/>
                </a:lnTo>
                <a:lnTo>
                  <a:pt x="225" y="142"/>
                </a:lnTo>
                <a:lnTo>
                  <a:pt x="243" y="128"/>
                </a:lnTo>
                <a:lnTo>
                  <a:pt x="262" y="117"/>
                </a:lnTo>
                <a:lnTo>
                  <a:pt x="283" y="109"/>
                </a:lnTo>
                <a:lnTo>
                  <a:pt x="307" y="105"/>
                </a:lnTo>
                <a:lnTo>
                  <a:pt x="318" y="105"/>
                </a:lnTo>
                <a:lnTo>
                  <a:pt x="343" y="107"/>
                </a:lnTo>
                <a:lnTo>
                  <a:pt x="365" y="115"/>
                </a:lnTo>
                <a:lnTo>
                  <a:pt x="387" y="125"/>
                </a:lnTo>
                <a:lnTo>
                  <a:pt x="406" y="139"/>
                </a:lnTo>
                <a:lnTo>
                  <a:pt x="387" y="157"/>
                </a:lnTo>
                <a:lnTo>
                  <a:pt x="365" y="171"/>
                </a:lnTo>
                <a:lnTo>
                  <a:pt x="340" y="181"/>
                </a:lnTo>
                <a:lnTo>
                  <a:pt x="312" y="187"/>
                </a:lnTo>
                <a:lnTo>
                  <a:pt x="303" y="187"/>
                </a:lnTo>
                <a:lnTo>
                  <a:pt x="275" y="183"/>
                </a:lnTo>
                <a:lnTo>
                  <a:pt x="249" y="176"/>
                </a:lnTo>
                <a:lnTo>
                  <a:pt x="226" y="163"/>
                </a:lnTo>
                <a:lnTo>
                  <a:pt x="225" y="168"/>
                </a:lnTo>
                <a:lnTo>
                  <a:pt x="224" y="173"/>
                </a:lnTo>
                <a:lnTo>
                  <a:pt x="222" y="178"/>
                </a:lnTo>
                <a:lnTo>
                  <a:pt x="219" y="183"/>
                </a:lnTo>
                <a:lnTo>
                  <a:pt x="242" y="187"/>
                </a:lnTo>
                <a:lnTo>
                  <a:pt x="262" y="193"/>
                </a:lnTo>
                <a:lnTo>
                  <a:pt x="283" y="202"/>
                </a:lnTo>
                <a:lnTo>
                  <a:pt x="303" y="217"/>
                </a:lnTo>
                <a:lnTo>
                  <a:pt x="322" y="237"/>
                </a:lnTo>
                <a:lnTo>
                  <a:pt x="336" y="259"/>
                </a:lnTo>
                <a:lnTo>
                  <a:pt x="346" y="284"/>
                </a:lnTo>
                <a:lnTo>
                  <a:pt x="350" y="311"/>
                </a:lnTo>
                <a:lnTo>
                  <a:pt x="339" y="311"/>
                </a:lnTo>
                <a:lnTo>
                  <a:pt x="315" y="308"/>
                </a:lnTo>
                <a:lnTo>
                  <a:pt x="293" y="302"/>
                </a:lnTo>
                <a:lnTo>
                  <a:pt x="271" y="292"/>
                </a:lnTo>
                <a:lnTo>
                  <a:pt x="250" y="278"/>
                </a:lnTo>
                <a:lnTo>
                  <a:pt x="233" y="261"/>
                </a:lnTo>
                <a:lnTo>
                  <a:pt x="221" y="242"/>
                </a:lnTo>
                <a:lnTo>
                  <a:pt x="211" y="221"/>
                </a:lnTo>
                <a:lnTo>
                  <a:pt x="205" y="199"/>
                </a:lnTo>
                <a:lnTo>
                  <a:pt x="196" y="205"/>
                </a:lnTo>
                <a:lnTo>
                  <a:pt x="185" y="208"/>
                </a:lnTo>
                <a:lnTo>
                  <a:pt x="199" y="226"/>
                </a:lnTo>
                <a:lnTo>
                  <a:pt x="210" y="246"/>
                </a:lnTo>
                <a:lnTo>
                  <a:pt x="218" y="269"/>
                </a:lnTo>
                <a:lnTo>
                  <a:pt x="222" y="292"/>
                </a:lnTo>
                <a:lnTo>
                  <a:pt x="221" y="320"/>
                </a:lnTo>
                <a:lnTo>
                  <a:pt x="216" y="346"/>
                </a:lnTo>
                <a:lnTo>
                  <a:pt x="204" y="370"/>
                </a:lnTo>
                <a:lnTo>
                  <a:pt x="188" y="392"/>
                </a:lnTo>
                <a:lnTo>
                  <a:pt x="171" y="373"/>
                </a:lnTo>
                <a:lnTo>
                  <a:pt x="156" y="351"/>
                </a:lnTo>
                <a:lnTo>
                  <a:pt x="146" y="325"/>
                </a:lnTo>
                <a:lnTo>
                  <a:pt x="142" y="298"/>
                </a:lnTo>
                <a:lnTo>
                  <a:pt x="142" y="274"/>
                </a:lnTo>
                <a:lnTo>
                  <a:pt x="146" y="251"/>
                </a:lnTo>
                <a:lnTo>
                  <a:pt x="154" y="229"/>
                </a:lnTo>
                <a:lnTo>
                  <a:pt x="166" y="209"/>
                </a:lnTo>
                <a:lnTo>
                  <a:pt x="160" y="209"/>
                </a:lnTo>
                <a:lnTo>
                  <a:pt x="155" y="207"/>
                </a:lnTo>
                <a:lnTo>
                  <a:pt x="149" y="205"/>
                </a:lnTo>
                <a:lnTo>
                  <a:pt x="144" y="203"/>
                </a:lnTo>
                <a:lnTo>
                  <a:pt x="142" y="225"/>
                </a:lnTo>
                <a:lnTo>
                  <a:pt x="135" y="247"/>
                </a:lnTo>
                <a:lnTo>
                  <a:pt x="125" y="269"/>
                </a:lnTo>
                <a:lnTo>
                  <a:pt x="111" y="289"/>
                </a:lnTo>
                <a:lnTo>
                  <a:pt x="91" y="307"/>
                </a:lnTo>
                <a:lnTo>
                  <a:pt x="68" y="322"/>
                </a:lnTo>
                <a:lnTo>
                  <a:pt x="44" y="331"/>
                </a:lnTo>
                <a:lnTo>
                  <a:pt x="18" y="336"/>
                </a:lnTo>
                <a:lnTo>
                  <a:pt x="18" y="309"/>
                </a:lnTo>
                <a:lnTo>
                  <a:pt x="23" y="283"/>
                </a:lnTo>
                <a:lnTo>
                  <a:pt x="34" y="258"/>
                </a:lnTo>
                <a:lnTo>
                  <a:pt x="50" y="236"/>
                </a:lnTo>
                <a:lnTo>
                  <a:pt x="68" y="219"/>
                </a:lnTo>
                <a:lnTo>
                  <a:pt x="86" y="205"/>
                </a:lnTo>
                <a:lnTo>
                  <a:pt x="107" y="196"/>
                </a:lnTo>
                <a:lnTo>
                  <a:pt x="129" y="191"/>
                </a:lnTo>
                <a:lnTo>
                  <a:pt x="123" y="181"/>
                </a:lnTo>
                <a:lnTo>
                  <a:pt x="119" y="171"/>
                </a:lnTo>
                <a:lnTo>
                  <a:pt x="101" y="184"/>
                </a:lnTo>
                <a:lnTo>
                  <a:pt x="81" y="196"/>
                </a:lnTo>
                <a:lnTo>
                  <a:pt x="59" y="203"/>
                </a:lnTo>
                <a:lnTo>
                  <a:pt x="35" y="207"/>
                </a:lnTo>
                <a:lnTo>
                  <a:pt x="26" y="207"/>
                </a:lnTo>
                <a:lnTo>
                  <a:pt x="13" y="206"/>
                </a:lnTo>
                <a:lnTo>
                  <a:pt x="14" y="201"/>
                </a:lnTo>
                <a:lnTo>
                  <a:pt x="15" y="181"/>
                </a:lnTo>
                <a:lnTo>
                  <a:pt x="13" y="164"/>
                </a:lnTo>
                <a:lnTo>
                  <a:pt x="8" y="147"/>
                </a:lnTo>
                <a:lnTo>
                  <a:pt x="2" y="131"/>
                </a:lnTo>
                <a:lnTo>
                  <a:pt x="29" y="126"/>
                </a:lnTo>
                <a:lnTo>
                  <a:pt x="40" y="126"/>
                </a:lnTo>
                <a:lnTo>
                  <a:pt x="68" y="129"/>
                </a:lnTo>
                <a:lnTo>
                  <a:pt x="94" y="138"/>
                </a:lnTo>
                <a:lnTo>
                  <a:pt x="117" y="150"/>
                </a:lnTo>
                <a:lnTo>
                  <a:pt x="118" y="145"/>
                </a:lnTo>
                <a:lnTo>
                  <a:pt x="120" y="139"/>
                </a:lnTo>
                <a:lnTo>
                  <a:pt x="121" y="133"/>
                </a:lnTo>
                <a:lnTo>
                  <a:pt x="124" y="129"/>
                </a:lnTo>
                <a:lnTo>
                  <a:pt x="101" y="126"/>
                </a:lnTo>
                <a:lnTo>
                  <a:pt x="79" y="120"/>
                </a:lnTo>
                <a:lnTo>
                  <a:pt x="58" y="111"/>
                </a:lnTo>
                <a:lnTo>
                  <a:pt x="40" y="96"/>
                </a:lnTo>
                <a:lnTo>
                  <a:pt x="34" y="92"/>
                </a:lnTo>
                <a:lnTo>
                  <a:pt x="29" y="87"/>
                </a:lnTo>
                <a:lnTo>
                  <a:pt x="37" y="72"/>
                </a:lnTo>
                <a:lnTo>
                  <a:pt x="44" y="55"/>
                </a:lnTo>
                <a:lnTo>
                  <a:pt x="46" y="42"/>
                </a:lnTo>
                <a:lnTo>
                  <a:pt x="47" y="39"/>
                </a:lnTo>
                <a:lnTo>
                  <a:pt x="47" y="34"/>
                </a:lnTo>
                <a:lnTo>
                  <a:pt x="34" y="22"/>
                </a:lnTo>
                <a:lnTo>
                  <a:pt x="19" y="12"/>
                </a:lnTo>
                <a:lnTo>
                  <a:pt x="0" y="2"/>
                </a:lnTo>
                <a:lnTo>
                  <a:pt x="3" y="2"/>
                </a:lnTo>
                <a:lnTo>
                  <a:pt x="27" y="4"/>
                </a:lnTo>
                <a:lnTo>
                  <a:pt x="50" y="11"/>
                </a:lnTo>
                <a:lnTo>
                  <a:pt x="72" y="21"/>
                </a:lnTo>
                <a:lnTo>
                  <a:pt x="92" y="36"/>
                </a:lnTo>
                <a:lnTo>
                  <a:pt x="108" y="52"/>
                </a:lnTo>
                <a:lnTo>
                  <a:pt x="122" y="71"/>
                </a:lnTo>
                <a:lnTo>
                  <a:pt x="131" y="92"/>
                </a:lnTo>
                <a:lnTo>
                  <a:pt x="137" y="113"/>
                </a:lnTo>
                <a:lnTo>
                  <a:pt x="146" y="107"/>
                </a:lnTo>
                <a:lnTo>
                  <a:pt x="156" y="103"/>
                </a:lnTo>
                <a:lnTo>
                  <a:pt x="143" y="86"/>
                </a:lnTo>
                <a:lnTo>
                  <a:pt x="131" y="66"/>
                </a:lnTo>
                <a:lnTo>
                  <a:pt x="124" y="44"/>
                </a:lnTo>
                <a:lnTo>
                  <a:pt x="121" y="21"/>
                </a:lnTo>
                <a:lnTo>
                  <a:pt x="121" y="0"/>
                </a:lnTo>
                <a:close/>
              </a:path>
            </a:pathLst>
          </a:custGeom>
          <a:solidFill>
            <a:schemeClr val="accent5"/>
          </a:solidFill>
          <a:ln w="0">
            <a:solidFill>
              <a:schemeClr val="accent5"/>
            </a:solidFill>
            <a:prstDash val="solid"/>
            <a:round/>
            <a:headEnd/>
            <a:tailEnd/>
          </a:ln>
        </xdr:spPr>
      </xdr:sp>
      <xdr:sp macro="" textlink="">
        <xdr:nvSpPr>
          <xdr:cNvPr id="49" name="Freeform 97"/>
          <xdr:cNvSpPr>
            <a:spLocks/>
          </xdr:cNvSpPr>
        </xdr:nvSpPr>
        <xdr:spPr bwMode="auto">
          <a:xfrm>
            <a:off x="558" y="59"/>
            <a:ext cx="16" cy="15"/>
          </a:xfrm>
          <a:custGeom>
            <a:avLst/>
            <a:gdLst>
              <a:gd name="T0" fmla="*/ 67 w 80"/>
              <a:gd name="T1" fmla="*/ 0 h 75"/>
              <a:gd name="T2" fmla="*/ 73 w 80"/>
              <a:gd name="T3" fmla="*/ 16 h 75"/>
              <a:gd name="T4" fmla="*/ 78 w 80"/>
              <a:gd name="T5" fmla="*/ 33 h 75"/>
              <a:gd name="T6" fmla="*/ 80 w 80"/>
              <a:gd name="T7" fmla="*/ 50 h 75"/>
              <a:gd name="T8" fmla="*/ 79 w 80"/>
              <a:gd name="T9" fmla="*/ 70 h 75"/>
              <a:gd name="T10" fmla="*/ 78 w 80"/>
              <a:gd name="T11" fmla="*/ 75 h 75"/>
              <a:gd name="T12" fmla="*/ 49 w 80"/>
              <a:gd name="T13" fmla="*/ 70 h 75"/>
              <a:gd name="T14" fmla="*/ 23 w 80"/>
              <a:gd name="T15" fmla="*/ 59 h 75"/>
              <a:gd name="T16" fmla="*/ 0 w 80"/>
              <a:gd name="T17" fmla="*/ 43 h 75"/>
              <a:gd name="T18" fmla="*/ 20 w 80"/>
              <a:gd name="T19" fmla="*/ 25 h 75"/>
              <a:gd name="T20" fmla="*/ 42 w 80"/>
              <a:gd name="T21" fmla="*/ 11 h 75"/>
              <a:gd name="T22" fmla="*/ 67 w 80"/>
              <a:gd name="T23" fmla="*/ 0 h 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80" h="75">
                <a:moveTo>
                  <a:pt x="67" y="0"/>
                </a:moveTo>
                <a:lnTo>
                  <a:pt x="73" y="16"/>
                </a:lnTo>
                <a:lnTo>
                  <a:pt x="78" y="33"/>
                </a:lnTo>
                <a:lnTo>
                  <a:pt x="80" y="50"/>
                </a:lnTo>
                <a:lnTo>
                  <a:pt x="79" y="70"/>
                </a:lnTo>
                <a:lnTo>
                  <a:pt x="78" y="75"/>
                </a:lnTo>
                <a:lnTo>
                  <a:pt x="49" y="70"/>
                </a:lnTo>
                <a:lnTo>
                  <a:pt x="23" y="59"/>
                </a:lnTo>
                <a:lnTo>
                  <a:pt x="0" y="43"/>
                </a:lnTo>
                <a:lnTo>
                  <a:pt x="20" y="25"/>
                </a:lnTo>
                <a:lnTo>
                  <a:pt x="42" y="11"/>
                </a:lnTo>
                <a:lnTo>
                  <a:pt x="67" y="0"/>
                </a:lnTo>
                <a:close/>
              </a:path>
            </a:pathLst>
          </a:custGeom>
          <a:solidFill>
            <a:schemeClr val="accent5">
              <a:lumMod val="75000"/>
            </a:schemeClr>
          </a:solidFill>
          <a:ln w="0">
            <a:solidFill>
              <a:schemeClr val="accent5">
                <a:lumMod val="75000"/>
              </a:schemeClr>
            </a:solidFill>
            <a:prstDash val="solid"/>
            <a:round/>
            <a:headEnd/>
            <a:tailEnd/>
          </a:ln>
        </xdr:spPr>
      </xdr:sp>
      <xdr:sp macro="" textlink="">
        <xdr:nvSpPr>
          <xdr:cNvPr id="50" name="Freeform 98"/>
          <xdr:cNvSpPr>
            <a:spLocks/>
          </xdr:cNvSpPr>
        </xdr:nvSpPr>
        <xdr:spPr bwMode="auto">
          <a:xfrm>
            <a:off x="569" y="33"/>
            <a:ext cx="11" cy="17"/>
          </a:xfrm>
          <a:custGeom>
            <a:avLst/>
            <a:gdLst>
              <a:gd name="T0" fmla="*/ 7 w 54"/>
              <a:gd name="T1" fmla="*/ 0 h 85"/>
              <a:gd name="T2" fmla="*/ 26 w 54"/>
              <a:gd name="T3" fmla="*/ 10 h 85"/>
              <a:gd name="T4" fmla="*/ 41 w 54"/>
              <a:gd name="T5" fmla="*/ 20 h 85"/>
              <a:gd name="T6" fmla="*/ 54 w 54"/>
              <a:gd name="T7" fmla="*/ 32 h 85"/>
              <a:gd name="T8" fmla="*/ 54 w 54"/>
              <a:gd name="T9" fmla="*/ 37 h 85"/>
              <a:gd name="T10" fmla="*/ 53 w 54"/>
              <a:gd name="T11" fmla="*/ 40 h 85"/>
              <a:gd name="T12" fmla="*/ 51 w 54"/>
              <a:gd name="T13" fmla="*/ 53 h 85"/>
              <a:gd name="T14" fmla="*/ 44 w 54"/>
              <a:gd name="T15" fmla="*/ 70 h 85"/>
              <a:gd name="T16" fmla="*/ 36 w 54"/>
              <a:gd name="T17" fmla="*/ 85 h 85"/>
              <a:gd name="T18" fmla="*/ 22 w 54"/>
              <a:gd name="T19" fmla="*/ 66 h 85"/>
              <a:gd name="T20" fmla="*/ 10 w 54"/>
              <a:gd name="T21" fmla="*/ 45 h 85"/>
              <a:gd name="T22" fmla="*/ 3 w 54"/>
              <a:gd name="T23" fmla="*/ 23 h 85"/>
              <a:gd name="T24" fmla="*/ 0 w 54"/>
              <a:gd name="T25" fmla="*/ 0 h 85"/>
              <a:gd name="T26" fmla="*/ 7 w 54"/>
              <a:gd name="T27" fmla="*/ 0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4" h="85">
                <a:moveTo>
                  <a:pt x="7" y="0"/>
                </a:moveTo>
                <a:lnTo>
                  <a:pt x="26" y="10"/>
                </a:lnTo>
                <a:lnTo>
                  <a:pt x="41" y="20"/>
                </a:lnTo>
                <a:lnTo>
                  <a:pt x="54" y="32"/>
                </a:lnTo>
                <a:lnTo>
                  <a:pt x="54" y="37"/>
                </a:lnTo>
                <a:lnTo>
                  <a:pt x="53" y="40"/>
                </a:lnTo>
                <a:lnTo>
                  <a:pt x="51" y="53"/>
                </a:lnTo>
                <a:lnTo>
                  <a:pt x="44" y="70"/>
                </a:lnTo>
                <a:lnTo>
                  <a:pt x="36" y="85"/>
                </a:lnTo>
                <a:lnTo>
                  <a:pt x="22" y="66"/>
                </a:lnTo>
                <a:lnTo>
                  <a:pt x="10" y="45"/>
                </a:lnTo>
                <a:lnTo>
                  <a:pt x="3" y="23"/>
                </a:lnTo>
                <a:lnTo>
                  <a:pt x="0" y="0"/>
                </a:lnTo>
                <a:lnTo>
                  <a:pt x="7" y="0"/>
                </a:lnTo>
                <a:close/>
              </a:path>
            </a:pathLst>
          </a:custGeom>
          <a:solidFill>
            <a:schemeClr val="accent5">
              <a:lumMod val="75000"/>
            </a:schemeClr>
          </a:solidFill>
          <a:ln w="0">
            <a:solidFill>
              <a:schemeClr val="accent5">
                <a:lumMod val="75000"/>
              </a:schemeClr>
            </a:solidFill>
            <a:prstDash val="solid"/>
            <a:round/>
            <a:headEnd/>
            <a:tailEnd/>
          </a:ln>
        </xdr:spPr>
      </xdr:sp>
      <xdr:sp macro="" textlink="">
        <xdr:nvSpPr>
          <xdr:cNvPr id="51" name="Freeform 99"/>
          <xdr:cNvSpPr>
            <a:spLocks/>
          </xdr:cNvSpPr>
        </xdr:nvSpPr>
        <xdr:spPr bwMode="auto">
          <a:xfrm>
            <a:off x="526" y="93"/>
            <a:ext cx="66" cy="39"/>
          </a:xfrm>
          <a:custGeom>
            <a:avLst/>
            <a:gdLst>
              <a:gd name="T0" fmla="*/ 174 w 327"/>
              <a:gd name="T1" fmla="*/ 13 h 194"/>
              <a:gd name="T2" fmla="*/ 188 w 327"/>
              <a:gd name="T3" fmla="*/ 43 h 194"/>
              <a:gd name="T4" fmla="*/ 213 w 327"/>
              <a:gd name="T5" fmla="*/ 21 h 194"/>
              <a:gd name="T6" fmla="*/ 233 w 327"/>
              <a:gd name="T7" fmla="*/ 36 h 194"/>
              <a:gd name="T8" fmla="*/ 255 w 327"/>
              <a:gd name="T9" fmla="*/ 51 h 194"/>
              <a:gd name="T10" fmla="*/ 277 w 327"/>
              <a:gd name="T11" fmla="*/ 65 h 194"/>
              <a:gd name="T12" fmla="*/ 267 w 327"/>
              <a:gd name="T13" fmla="*/ 96 h 194"/>
              <a:gd name="T14" fmla="*/ 299 w 327"/>
              <a:gd name="T15" fmla="*/ 97 h 194"/>
              <a:gd name="T16" fmla="*/ 308 w 327"/>
              <a:gd name="T17" fmla="*/ 116 h 194"/>
              <a:gd name="T18" fmla="*/ 287 w 327"/>
              <a:gd name="T19" fmla="*/ 140 h 194"/>
              <a:gd name="T20" fmla="*/ 327 w 327"/>
              <a:gd name="T21" fmla="*/ 164 h 194"/>
              <a:gd name="T22" fmla="*/ 301 w 327"/>
              <a:gd name="T23" fmla="*/ 183 h 194"/>
              <a:gd name="T24" fmla="*/ 289 w 327"/>
              <a:gd name="T25" fmla="*/ 191 h 194"/>
              <a:gd name="T26" fmla="*/ 206 w 327"/>
              <a:gd name="T27" fmla="*/ 194 h 194"/>
              <a:gd name="T28" fmla="*/ 216 w 327"/>
              <a:gd name="T29" fmla="*/ 165 h 194"/>
              <a:gd name="T30" fmla="*/ 205 w 327"/>
              <a:gd name="T31" fmla="*/ 134 h 194"/>
              <a:gd name="T32" fmla="*/ 180 w 327"/>
              <a:gd name="T33" fmla="*/ 115 h 194"/>
              <a:gd name="T34" fmla="*/ 147 w 327"/>
              <a:gd name="T35" fmla="*/ 115 h 194"/>
              <a:gd name="T36" fmla="*/ 122 w 327"/>
              <a:gd name="T37" fmla="*/ 134 h 194"/>
              <a:gd name="T38" fmla="*/ 112 w 327"/>
              <a:gd name="T39" fmla="*/ 165 h 194"/>
              <a:gd name="T40" fmla="*/ 121 w 327"/>
              <a:gd name="T41" fmla="*/ 194 h 194"/>
              <a:gd name="T42" fmla="*/ 38 w 327"/>
              <a:gd name="T43" fmla="*/ 192 h 194"/>
              <a:gd name="T44" fmla="*/ 19 w 327"/>
              <a:gd name="T45" fmla="*/ 179 h 194"/>
              <a:gd name="T46" fmla="*/ 13 w 327"/>
              <a:gd name="T47" fmla="*/ 154 h 194"/>
              <a:gd name="T48" fmla="*/ 43 w 327"/>
              <a:gd name="T49" fmla="*/ 141 h 194"/>
              <a:gd name="T50" fmla="*/ 34 w 327"/>
              <a:gd name="T51" fmla="*/ 132 h 194"/>
              <a:gd name="T52" fmla="*/ 42 w 327"/>
              <a:gd name="T53" fmla="*/ 119 h 194"/>
              <a:gd name="T54" fmla="*/ 16 w 327"/>
              <a:gd name="T55" fmla="*/ 108 h 194"/>
              <a:gd name="T56" fmla="*/ 36 w 327"/>
              <a:gd name="T57" fmla="*/ 95 h 194"/>
              <a:gd name="T58" fmla="*/ 50 w 327"/>
              <a:gd name="T59" fmla="*/ 72 h 194"/>
              <a:gd name="T60" fmla="*/ 64 w 327"/>
              <a:gd name="T61" fmla="*/ 50 h 194"/>
              <a:gd name="T62" fmla="*/ 95 w 327"/>
              <a:gd name="T63" fmla="*/ 62 h 194"/>
              <a:gd name="T64" fmla="*/ 97 w 327"/>
              <a:gd name="T65" fmla="*/ 28 h 194"/>
              <a:gd name="T66" fmla="*/ 116 w 327"/>
              <a:gd name="T67" fmla="*/ 20 h 194"/>
              <a:gd name="T68" fmla="*/ 139 w 327"/>
              <a:gd name="T69" fmla="*/ 41 h 194"/>
              <a:gd name="T70" fmla="*/ 163 w 327"/>
              <a:gd name="T71" fmla="*/ 0 h 1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27" h="194">
                <a:moveTo>
                  <a:pt x="163" y="0"/>
                </a:moveTo>
                <a:lnTo>
                  <a:pt x="174" y="13"/>
                </a:lnTo>
                <a:lnTo>
                  <a:pt x="182" y="27"/>
                </a:lnTo>
                <a:lnTo>
                  <a:pt x="188" y="43"/>
                </a:lnTo>
                <a:lnTo>
                  <a:pt x="199" y="30"/>
                </a:lnTo>
                <a:lnTo>
                  <a:pt x="213" y="21"/>
                </a:lnTo>
                <a:lnTo>
                  <a:pt x="227" y="14"/>
                </a:lnTo>
                <a:lnTo>
                  <a:pt x="233" y="36"/>
                </a:lnTo>
                <a:lnTo>
                  <a:pt x="233" y="60"/>
                </a:lnTo>
                <a:lnTo>
                  <a:pt x="255" y="51"/>
                </a:lnTo>
                <a:lnTo>
                  <a:pt x="279" y="48"/>
                </a:lnTo>
                <a:lnTo>
                  <a:pt x="277" y="65"/>
                </a:lnTo>
                <a:lnTo>
                  <a:pt x="273" y="80"/>
                </a:lnTo>
                <a:lnTo>
                  <a:pt x="267" y="96"/>
                </a:lnTo>
                <a:lnTo>
                  <a:pt x="283" y="95"/>
                </a:lnTo>
                <a:lnTo>
                  <a:pt x="299" y="97"/>
                </a:lnTo>
                <a:lnTo>
                  <a:pt x="315" y="102"/>
                </a:lnTo>
                <a:lnTo>
                  <a:pt x="308" y="116"/>
                </a:lnTo>
                <a:lnTo>
                  <a:pt x="299" y="128"/>
                </a:lnTo>
                <a:lnTo>
                  <a:pt x="287" y="140"/>
                </a:lnTo>
                <a:lnTo>
                  <a:pt x="308" y="149"/>
                </a:lnTo>
                <a:lnTo>
                  <a:pt x="327" y="164"/>
                </a:lnTo>
                <a:lnTo>
                  <a:pt x="315" y="174"/>
                </a:lnTo>
                <a:lnTo>
                  <a:pt x="301" y="183"/>
                </a:lnTo>
                <a:lnTo>
                  <a:pt x="284" y="189"/>
                </a:lnTo>
                <a:lnTo>
                  <a:pt x="289" y="191"/>
                </a:lnTo>
                <a:lnTo>
                  <a:pt x="292" y="194"/>
                </a:lnTo>
                <a:lnTo>
                  <a:pt x="206" y="194"/>
                </a:lnTo>
                <a:lnTo>
                  <a:pt x="214" y="180"/>
                </a:lnTo>
                <a:lnTo>
                  <a:pt x="216" y="165"/>
                </a:lnTo>
                <a:lnTo>
                  <a:pt x="213" y="148"/>
                </a:lnTo>
                <a:lnTo>
                  <a:pt x="205" y="134"/>
                </a:lnTo>
                <a:lnTo>
                  <a:pt x="195" y="122"/>
                </a:lnTo>
                <a:lnTo>
                  <a:pt x="180" y="115"/>
                </a:lnTo>
                <a:lnTo>
                  <a:pt x="164" y="113"/>
                </a:lnTo>
                <a:lnTo>
                  <a:pt x="147" y="115"/>
                </a:lnTo>
                <a:lnTo>
                  <a:pt x="134" y="122"/>
                </a:lnTo>
                <a:lnTo>
                  <a:pt x="122" y="134"/>
                </a:lnTo>
                <a:lnTo>
                  <a:pt x="115" y="148"/>
                </a:lnTo>
                <a:lnTo>
                  <a:pt x="112" y="165"/>
                </a:lnTo>
                <a:lnTo>
                  <a:pt x="115" y="180"/>
                </a:lnTo>
                <a:lnTo>
                  <a:pt x="121" y="194"/>
                </a:lnTo>
                <a:lnTo>
                  <a:pt x="35" y="194"/>
                </a:lnTo>
                <a:lnTo>
                  <a:pt x="38" y="192"/>
                </a:lnTo>
                <a:lnTo>
                  <a:pt x="41" y="189"/>
                </a:lnTo>
                <a:lnTo>
                  <a:pt x="19" y="179"/>
                </a:lnTo>
                <a:lnTo>
                  <a:pt x="0" y="165"/>
                </a:lnTo>
                <a:lnTo>
                  <a:pt x="13" y="154"/>
                </a:lnTo>
                <a:lnTo>
                  <a:pt x="27" y="146"/>
                </a:lnTo>
                <a:lnTo>
                  <a:pt x="43" y="141"/>
                </a:lnTo>
                <a:lnTo>
                  <a:pt x="38" y="137"/>
                </a:lnTo>
                <a:lnTo>
                  <a:pt x="34" y="132"/>
                </a:lnTo>
                <a:lnTo>
                  <a:pt x="63" y="124"/>
                </a:lnTo>
                <a:lnTo>
                  <a:pt x="42" y="119"/>
                </a:lnTo>
                <a:lnTo>
                  <a:pt x="19" y="114"/>
                </a:lnTo>
                <a:lnTo>
                  <a:pt x="16" y="108"/>
                </a:lnTo>
                <a:lnTo>
                  <a:pt x="13" y="101"/>
                </a:lnTo>
                <a:lnTo>
                  <a:pt x="36" y="95"/>
                </a:lnTo>
                <a:lnTo>
                  <a:pt x="60" y="95"/>
                </a:lnTo>
                <a:lnTo>
                  <a:pt x="50" y="72"/>
                </a:lnTo>
                <a:lnTo>
                  <a:pt x="47" y="49"/>
                </a:lnTo>
                <a:lnTo>
                  <a:pt x="64" y="50"/>
                </a:lnTo>
                <a:lnTo>
                  <a:pt x="79" y="54"/>
                </a:lnTo>
                <a:lnTo>
                  <a:pt x="95" y="62"/>
                </a:lnTo>
                <a:lnTo>
                  <a:pt x="94" y="45"/>
                </a:lnTo>
                <a:lnTo>
                  <a:pt x="97" y="28"/>
                </a:lnTo>
                <a:lnTo>
                  <a:pt x="101" y="13"/>
                </a:lnTo>
                <a:lnTo>
                  <a:pt x="116" y="20"/>
                </a:lnTo>
                <a:lnTo>
                  <a:pt x="128" y="29"/>
                </a:lnTo>
                <a:lnTo>
                  <a:pt x="139" y="41"/>
                </a:lnTo>
                <a:lnTo>
                  <a:pt x="149" y="19"/>
                </a:lnTo>
                <a:lnTo>
                  <a:pt x="163" y="0"/>
                </a:lnTo>
                <a:close/>
              </a:path>
            </a:pathLst>
          </a:custGeom>
          <a:solidFill>
            <a:schemeClr val="accent4"/>
          </a:solidFill>
          <a:ln w="0">
            <a:solidFill>
              <a:schemeClr val="accent4"/>
            </a:solidFill>
            <a:prstDash val="solid"/>
            <a:round/>
            <a:headEnd/>
            <a:tailEnd/>
          </a:ln>
        </xdr:spPr>
      </xdr:sp>
      <xdr:sp macro="" textlink="">
        <xdr:nvSpPr>
          <xdr:cNvPr id="52" name="Freeform 100"/>
          <xdr:cNvSpPr>
            <a:spLocks/>
          </xdr:cNvSpPr>
        </xdr:nvSpPr>
        <xdr:spPr bwMode="auto">
          <a:xfrm>
            <a:off x="91" y="82"/>
            <a:ext cx="84" cy="50"/>
          </a:xfrm>
          <a:custGeom>
            <a:avLst/>
            <a:gdLst>
              <a:gd name="T0" fmla="*/ 319 w 423"/>
              <a:gd name="T1" fmla="*/ 34 h 248"/>
              <a:gd name="T2" fmla="*/ 363 w 423"/>
              <a:gd name="T3" fmla="*/ 34 h 248"/>
              <a:gd name="T4" fmla="*/ 384 w 423"/>
              <a:gd name="T5" fmla="*/ 24 h 248"/>
              <a:gd name="T6" fmla="*/ 390 w 423"/>
              <a:gd name="T7" fmla="*/ 46 h 248"/>
              <a:gd name="T8" fmla="*/ 394 w 423"/>
              <a:gd name="T9" fmla="*/ 57 h 248"/>
              <a:gd name="T10" fmla="*/ 399 w 423"/>
              <a:gd name="T11" fmla="*/ 86 h 248"/>
              <a:gd name="T12" fmla="*/ 383 w 423"/>
              <a:gd name="T13" fmla="*/ 104 h 248"/>
              <a:gd name="T14" fmla="*/ 389 w 423"/>
              <a:gd name="T15" fmla="*/ 105 h 248"/>
              <a:gd name="T16" fmla="*/ 398 w 423"/>
              <a:gd name="T17" fmla="*/ 111 h 248"/>
              <a:gd name="T18" fmla="*/ 406 w 423"/>
              <a:gd name="T19" fmla="*/ 115 h 248"/>
              <a:gd name="T20" fmla="*/ 413 w 423"/>
              <a:gd name="T21" fmla="*/ 125 h 248"/>
              <a:gd name="T22" fmla="*/ 418 w 423"/>
              <a:gd name="T23" fmla="*/ 138 h 248"/>
              <a:gd name="T24" fmla="*/ 420 w 423"/>
              <a:gd name="T25" fmla="*/ 148 h 248"/>
              <a:gd name="T26" fmla="*/ 418 w 423"/>
              <a:gd name="T27" fmla="*/ 158 h 248"/>
              <a:gd name="T28" fmla="*/ 423 w 423"/>
              <a:gd name="T29" fmla="*/ 176 h 248"/>
              <a:gd name="T30" fmla="*/ 419 w 423"/>
              <a:gd name="T31" fmla="*/ 184 h 248"/>
              <a:gd name="T32" fmla="*/ 420 w 423"/>
              <a:gd name="T33" fmla="*/ 197 h 248"/>
              <a:gd name="T34" fmla="*/ 422 w 423"/>
              <a:gd name="T35" fmla="*/ 206 h 248"/>
              <a:gd name="T36" fmla="*/ 419 w 423"/>
              <a:gd name="T37" fmla="*/ 212 h 248"/>
              <a:gd name="T38" fmla="*/ 414 w 423"/>
              <a:gd name="T39" fmla="*/ 222 h 248"/>
              <a:gd name="T40" fmla="*/ 413 w 423"/>
              <a:gd name="T41" fmla="*/ 239 h 248"/>
              <a:gd name="T42" fmla="*/ 406 w 423"/>
              <a:gd name="T43" fmla="*/ 242 h 248"/>
              <a:gd name="T44" fmla="*/ 401 w 423"/>
              <a:gd name="T45" fmla="*/ 246 h 248"/>
              <a:gd name="T46" fmla="*/ 324 w 423"/>
              <a:gd name="T47" fmla="*/ 246 h 248"/>
              <a:gd name="T48" fmla="*/ 294 w 423"/>
              <a:gd name="T49" fmla="*/ 228 h 248"/>
              <a:gd name="T50" fmla="*/ 279 w 423"/>
              <a:gd name="T51" fmla="*/ 217 h 248"/>
              <a:gd name="T52" fmla="*/ 267 w 423"/>
              <a:gd name="T53" fmla="*/ 201 h 248"/>
              <a:gd name="T54" fmla="*/ 258 w 423"/>
              <a:gd name="T55" fmla="*/ 190 h 248"/>
              <a:gd name="T56" fmla="*/ 253 w 423"/>
              <a:gd name="T57" fmla="*/ 184 h 248"/>
              <a:gd name="T58" fmla="*/ 249 w 423"/>
              <a:gd name="T59" fmla="*/ 189 h 248"/>
              <a:gd name="T60" fmla="*/ 251 w 423"/>
              <a:gd name="T61" fmla="*/ 195 h 248"/>
              <a:gd name="T62" fmla="*/ 257 w 423"/>
              <a:gd name="T63" fmla="*/ 209 h 248"/>
              <a:gd name="T64" fmla="*/ 259 w 423"/>
              <a:gd name="T65" fmla="*/ 245 h 248"/>
              <a:gd name="T66" fmla="*/ 99 w 423"/>
              <a:gd name="T67" fmla="*/ 244 h 248"/>
              <a:gd name="T68" fmla="*/ 102 w 423"/>
              <a:gd name="T69" fmla="*/ 230 h 248"/>
              <a:gd name="T70" fmla="*/ 103 w 423"/>
              <a:gd name="T71" fmla="*/ 221 h 248"/>
              <a:gd name="T72" fmla="*/ 89 w 423"/>
              <a:gd name="T73" fmla="*/ 221 h 248"/>
              <a:gd name="T74" fmla="*/ 74 w 423"/>
              <a:gd name="T75" fmla="*/ 208 h 248"/>
              <a:gd name="T76" fmla="*/ 65 w 423"/>
              <a:gd name="T77" fmla="*/ 191 h 248"/>
              <a:gd name="T78" fmla="*/ 58 w 423"/>
              <a:gd name="T79" fmla="*/ 183 h 248"/>
              <a:gd name="T80" fmla="*/ 47 w 423"/>
              <a:gd name="T81" fmla="*/ 161 h 248"/>
              <a:gd name="T82" fmla="*/ 36 w 423"/>
              <a:gd name="T83" fmla="*/ 149 h 248"/>
              <a:gd name="T84" fmla="*/ 22 w 423"/>
              <a:gd name="T85" fmla="*/ 133 h 248"/>
              <a:gd name="T86" fmla="*/ 0 w 423"/>
              <a:gd name="T87" fmla="*/ 114 h 248"/>
              <a:gd name="T88" fmla="*/ 51 w 423"/>
              <a:gd name="T89" fmla="*/ 65 h 248"/>
              <a:gd name="T90" fmla="*/ 132 w 423"/>
              <a:gd name="T91" fmla="*/ 89 h 248"/>
              <a:gd name="T92" fmla="*/ 188 w 423"/>
              <a:gd name="T93" fmla="*/ 122 h 248"/>
              <a:gd name="T94" fmla="*/ 229 w 423"/>
              <a:gd name="T95" fmla="*/ 149 h 248"/>
              <a:gd name="T96" fmla="*/ 233 w 423"/>
              <a:gd name="T97" fmla="*/ 148 h 248"/>
              <a:gd name="T98" fmla="*/ 230 w 423"/>
              <a:gd name="T99" fmla="*/ 143 h 248"/>
              <a:gd name="T100" fmla="*/ 232 w 423"/>
              <a:gd name="T101" fmla="*/ 138 h 248"/>
              <a:gd name="T102" fmla="*/ 237 w 423"/>
              <a:gd name="T103" fmla="*/ 136 h 248"/>
              <a:gd name="T104" fmla="*/ 244 w 423"/>
              <a:gd name="T105" fmla="*/ 139 h 248"/>
              <a:gd name="T106" fmla="*/ 245 w 423"/>
              <a:gd name="T107" fmla="*/ 145 h 248"/>
              <a:gd name="T108" fmla="*/ 246 w 423"/>
              <a:gd name="T109" fmla="*/ 147 h 248"/>
              <a:gd name="T110" fmla="*/ 248 w 423"/>
              <a:gd name="T111" fmla="*/ 143 h 248"/>
              <a:gd name="T112" fmla="*/ 249 w 423"/>
              <a:gd name="T113" fmla="*/ 131 h 248"/>
              <a:gd name="T114" fmla="*/ 263 w 423"/>
              <a:gd name="T115" fmla="*/ 55 h 2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423" h="248">
                <a:moveTo>
                  <a:pt x="281" y="0"/>
                </a:moveTo>
                <a:lnTo>
                  <a:pt x="299" y="19"/>
                </a:lnTo>
                <a:lnTo>
                  <a:pt x="319" y="34"/>
                </a:lnTo>
                <a:lnTo>
                  <a:pt x="342" y="47"/>
                </a:lnTo>
                <a:lnTo>
                  <a:pt x="343" y="47"/>
                </a:lnTo>
                <a:lnTo>
                  <a:pt x="363" y="34"/>
                </a:lnTo>
                <a:lnTo>
                  <a:pt x="382" y="20"/>
                </a:lnTo>
                <a:lnTo>
                  <a:pt x="383" y="22"/>
                </a:lnTo>
                <a:lnTo>
                  <a:pt x="384" y="24"/>
                </a:lnTo>
                <a:lnTo>
                  <a:pt x="384" y="26"/>
                </a:lnTo>
                <a:lnTo>
                  <a:pt x="388" y="36"/>
                </a:lnTo>
                <a:lnTo>
                  <a:pt x="390" y="46"/>
                </a:lnTo>
                <a:lnTo>
                  <a:pt x="390" y="50"/>
                </a:lnTo>
                <a:lnTo>
                  <a:pt x="392" y="54"/>
                </a:lnTo>
                <a:lnTo>
                  <a:pt x="394" y="57"/>
                </a:lnTo>
                <a:lnTo>
                  <a:pt x="395" y="61"/>
                </a:lnTo>
                <a:lnTo>
                  <a:pt x="398" y="73"/>
                </a:lnTo>
                <a:lnTo>
                  <a:pt x="399" y="86"/>
                </a:lnTo>
                <a:lnTo>
                  <a:pt x="396" y="94"/>
                </a:lnTo>
                <a:lnTo>
                  <a:pt x="390" y="100"/>
                </a:lnTo>
                <a:lnTo>
                  <a:pt x="383" y="104"/>
                </a:lnTo>
                <a:lnTo>
                  <a:pt x="384" y="104"/>
                </a:lnTo>
                <a:lnTo>
                  <a:pt x="386" y="104"/>
                </a:lnTo>
                <a:lnTo>
                  <a:pt x="389" y="105"/>
                </a:lnTo>
                <a:lnTo>
                  <a:pt x="393" y="107"/>
                </a:lnTo>
                <a:lnTo>
                  <a:pt x="395" y="108"/>
                </a:lnTo>
                <a:lnTo>
                  <a:pt x="398" y="111"/>
                </a:lnTo>
                <a:lnTo>
                  <a:pt x="400" y="112"/>
                </a:lnTo>
                <a:lnTo>
                  <a:pt x="403" y="113"/>
                </a:lnTo>
                <a:lnTo>
                  <a:pt x="406" y="115"/>
                </a:lnTo>
                <a:lnTo>
                  <a:pt x="409" y="118"/>
                </a:lnTo>
                <a:lnTo>
                  <a:pt x="411" y="121"/>
                </a:lnTo>
                <a:lnTo>
                  <a:pt x="413" y="125"/>
                </a:lnTo>
                <a:lnTo>
                  <a:pt x="414" y="129"/>
                </a:lnTo>
                <a:lnTo>
                  <a:pt x="415" y="134"/>
                </a:lnTo>
                <a:lnTo>
                  <a:pt x="418" y="138"/>
                </a:lnTo>
                <a:lnTo>
                  <a:pt x="419" y="141"/>
                </a:lnTo>
                <a:lnTo>
                  <a:pt x="420" y="144"/>
                </a:lnTo>
                <a:lnTo>
                  <a:pt x="420" y="148"/>
                </a:lnTo>
                <a:lnTo>
                  <a:pt x="420" y="151"/>
                </a:lnTo>
                <a:lnTo>
                  <a:pt x="419" y="155"/>
                </a:lnTo>
                <a:lnTo>
                  <a:pt x="418" y="158"/>
                </a:lnTo>
                <a:lnTo>
                  <a:pt x="420" y="165"/>
                </a:lnTo>
                <a:lnTo>
                  <a:pt x="422" y="171"/>
                </a:lnTo>
                <a:lnTo>
                  <a:pt x="423" y="176"/>
                </a:lnTo>
                <a:lnTo>
                  <a:pt x="422" y="179"/>
                </a:lnTo>
                <a:lnTo>
                  <a:pt x="420" y="182"/>
                </a:lnTo>
                <a:lnTo>
                  <a:pt x="419" y="184"/>
                </a:lnTo>
                <a:lnTo>
                  <a:pt x="419" y="188"/>
                </a:lnTo>
                <a:lnTo>
                  <a:pt x="419" y="192"/>
                </a:lnTo>
                <a:lnTo>
                  <a:pt x="420" y="197"/>
                </a:lnTo>
                <a:lnTo>
                  <a:pt x="422" y="201"/>
                </a:lnTo>
                <a:lnTo>
                  <a:pt x="422" y="204"/>
                </a:lnTo>
                <a:lnTo>
                  <a:pt x="422" y="206"/>
                </a:lnTo>
                <a:lnTo>
                  <a:pt x="421" y="207"/>
                </a:lnTo>
                <a:lnTo>
                  <a:pt x="420" y="209"/>
                </a:lnTo>
                <a:lnTo>
                  <a:pt x="419" y="212"/>
                </a:lnTo>
                <a:lnTo>
                  <a:pt x="418" y="213"/>
                </a:lnTo>
                <a:lnTo>
                  <a:pt x="415" y="215"/>
                </a:lnTo>
                <a:lnTo>
                  <a:pt x="414" y="222"/>
                </a:lnTo>
                <a:lnTo>
                  <a:pt x="415" y="230"/>
                </a:lnTo>
                <a:lnTo>
                  <a:pt x="414" y="238"/>
                </a:lnTo>
                <a:lnTo>
                  <a:pt x="413" y="239"/>
                </a:lnTo>
                <a:lnTo>
                  <a:pt x="411" y="240"/>
                </a:lnTo>
                <a:lnTo>
                  <a:pt x="409" y="241"/>
                </a:lnTo>
                <a:lnTo>
                  <a:pt x="406" y="242"/>
                </a:lnTo>
                <a:lnTo>
                  <a:pt x="405" y="243"/>
                </a:lnTo>
                <a:lnTo>
                  <a:pt x="402" y="244"/>
                </a:lnTo>
                <a:lnTo>
                  <a:pt x="401" y="246"/>
                </a:lnTo>
                <a:lnTo>
                  <a:pt x="399" y="248"/>
                </a:lnTo>
                <a:lnTo>
                  <a:pt x="326" y="248"/>
                </a:lnTo>
                <a:lnTo>
                  <a:pt x="324" y="246"/>
                </a:lnTo>
                <a:lnTo>
                  <a:pt x="321" y="244"/>
                </a:lnTo>
                <a:lnTo>
                  <a:pt x="301" y="232"/>
                </a:lnTo>
                <a:lnTo>
                  <a:pt x="294" y="228"/>
                </a:lnTo>
                <a:lnTo>
                  <a:pt x="287" y="224"/>
                </a:lnTo>
                <a:lnTo>
                  <a:pt x="283" y="221"/>
                </a:lnTo>
                <a:lnTo>
                  <a:pt x="279" y="217"/>
                </a:lnTo>
                <a:lnTo>
                  <a:pt x="275" y="213"/>
                </a:lnTo>
                <a:lnTo>
                  <a:pt x="272" y="208"/>
                </a:lnTo>
                <a:lnTo>
                  <a:pt x="267" y="201"/>
                </a:lnTo>
                <a:lnTo>
                  <a:pt x="261" y="195"/>
                </a:lnTo>
                <a:lnTo>
                  <a:pt x="260" y="193"/>
                </a:lnTo>
                <a:lnTo>
                  <a:pt x="258" y="190"/>
                </a:lnTo>
                <a:lnTo>
                  <a:pt x="257" y="188"/>
                </a:lnTo>
                <a:lnTo>
                  <a:pt x="255" y="186"/>
                </a:lnTo>
                <a:lnTo>
                  <a:pt x="253" y="184"/>
                </a:lnTo>
                <a:lnTo>
                  <a:pt x="252" y="186"/>
                </a:lnTo>
                <a:lnTo>
                  <a:pt x="250" y="187"/>
                </a:lnTo>
                <a:lnTo>
                  <a:pt x="249" y="189"/>
                </a:lnTo>
                <a:lnTo>
                  <a:pt x="249" y="191"/>
                </a:lnTo>
                <a:lnTo>
                  <a:pt x="250" y="193"/>
                </a:lnTo>
                <a:lnTo>
                  <a:pt x="251" y="195"/>
                </a:lnTo>
                <a:lnTo>
                  <a:pt x="252" y="197"/>
                </a:lnTo>
                <a:lnTo>
                  <a:pt x="253" y="199"/>
                </a:lnTo>
                <a:lnTo>
                  <a:pt x="257" y="209"/>
                </a:lnTo>
                <a:lnTo>
                  <a:pt x="259" y="221"/>
                </a:lnTo>
                <a:lnTo>
                  <a:pt x="260" y="233"/>
                </a:lnTo>
                <a:lnTo>
                  <a:pt x="259" y="245"/>
                </a:lnTo>
                <a:lnTo>
                  <a:pt x="258" y="248"/>
                </a:lnTo>
                <a:lnTo>
                  <a:pt x="99" y="248"/>
                </a:lnTo>
                <a:lnTo>
                  <a:pt x="99" y="244"/>
                </a:lnTo>
                <a:lnTo>
                  <a:pt x="100" y="240"/>
                </a:lnTo>
                <a:lnTo>
                  <a:pt x="100" y="234"/>
                </a:lnTo>
                <a:lnTo>
                  <a:pt x="102" y="230"/>
                </a:lnTo>
                <a:lnTo>
                  <a:pt x="105" y="226"/>
                </a:lnTo>
                <a:lnTo>
                  <a:pt x="107" y="221"/>
                </a:lnTo>
                <a:lnTo>
                  <a:pt x="103" y="221"/>
                </a:lnTo>
                <a:lnTo>
                  <a:pt x="98" y="221"/>
                </a:lnTo>
                <a:lnTo>
                  <a:pt x="93" y="222"/>
                </a:lnTo>
                <a:lnTo>
                  <a:pt x="89" y="221"/>
                </a:lnTo>
                <a:lnTo>
                  <a:pt x="85" y="220"/>
                </a:lnTo>
                <a:lnTo>
                  <a:pt x="82" y="217"/>
                </a:lnTo>
                <a:lnTo>
                  <a:pt x="74" y="208"/>
                </a:lnTo>
                <a:lnTo>
                  <a:pt x="69" y="199"/>
                </a:lnTo>
                <a:lnTo>
                  <a:pt x="67" y="195"/>
                </a:lnTo>
                <a:lnTo>
                  <a:pt x="65" y="191"/>
                </a:lnTo>
                <a:lnTo>
                  <a:pt x="63" y="188"/>
                </a:lnTo>
                <a:lnTo>
                  <a:pt x="59" y="186"/>
                </a:lnTo>
                <a:lnTo>
                  <a:pt x="58" y="183"/>
                </a:lnTo>
                <a:lnTo>
                  <a:pt x="53" y="174"/>
                </a:lnTo>
                <a:lnTo>
                  <a:pt x="50" y="164"/>
                </a:lnTo>
                <a:lnTo>
                  <a:pt x="47" y="161"/>
                </a:lnTo>
                <a:lnTo>
                  <a:pt x="44" y="156"/>
                </a:lnTo>
                <a:lnTo>
                  <a:pt x="41" y="153"/>
                </a:lnTo>
                <a:lnTo>
                  <a:pt x="36" y="149"/>
                </a:lnTo>
                <a:lnTo>
                  <a:pt x="33" y="145"/>
                </a:lnTo>
                <a:lnTo>
                  <a:pt x="30" y="141"/>
                </a:lnTo>
                <a:lnTo>
                  <a:pt x="22" y="133"/>
                </a:lnTo>
                <a:lnTo>
                  <a:pt x="14" y="126"/>
                </a:lnTo>
                <a:lnTo>
                  <a:pt x="7" y="120"/>
                </a:lnTo>
                <a:lnTo>
                  <a:pt x="0" y="114"/>
                </a:lnTo>
                <a:lnTo>
                  <a:pt x="20" y="99"/>
                </a:lnTo>
                <a:lnTo>
                  <a:pt x="36" y="83"/>
                </a:lnTo>
                <a:lnTo>
                  <a:pt x="51" y="65"/>
                </a:lnTo>
                <a:lnTo>
                  <a:pt x="80" y="69"/>
                </a:lnTo>
                <a:lnTo>
                  <a:pt x="108" y="78"/>
                </a:lnTo>
                <a:lnTo>
                  <a:pt x="132" y="89"/>
                </a:lnTo>
                <a:lnTo>
                  <a:pt x="156" y="101"/>
                </a:lnTo>
                <a:lnTo>
                  <a:pt x="173" y="112"/>
                </a:lnTo>
                <a:lnTo>
                  <a:pt x="188" y="122"/>
                </a:lnTo>
                <a:lnTo>
                  <a:pt x="207" y="134"/>
                </a:lnTo>
                <a:lnTo>
                  <a:pt x="226" y="147"/>
                </a:lnTo>
                <a:lnTo>
                  <a:pt x="229" y="149"/>
                </a:lnTo>
                <a:lnTo>
                  <a:pt x="232" y="151"/>
                </a:lnTo>
                <a:lnTo>
                  <a:pt x="233" y="150"/>
                </a:lnTo>
                <a:lnTo>
                  <a:pt x="233" y="148"/>
                </a:lnTo>
                <a:lnTo>
                  <a:pt x="232" y="146"/>
                </a:lnTo>
                <a:lnTo>
                  <a:pt x="231" y="144"/>
                </a:lnTo>
                <a:lnTo>
                  <a:pt x="230" y="143"/>
                </a:lnTo>
                <a:lnTo>
                  <a:pt x="230" y="142"/>
                </a:lnTo>
                <a:lnTo>
                  <a:pt x="231" y="139"/>
                </a:lnTo>
                <a:lnTo>
                  <a:pt x="232" y="138"/>
                </a:lnTo>
                <a:lnTo>
                  <a:pt x="234" y="136"/>
                </a:lnTo>
                <a:lnTo>
                  <a:pt x="236" y="136"/>
                </a:lnTo>
                <a:lnTo>
                  <a:pt x="237" y="136"/>
                </a:lnTo>
                <a:lnTo>
                  <a:pt x="241" y="136"/>
                </a:lnTo>
                <a:lnTo>
                  <a:pt x="243" y="137"/>
                </a:lnTo>
                <a:lnTo>
                  <a:pt x="244" y="139"/>
                </a:lnTo>
                <a:lnTo>
                  <a:pt x="245" y="140"/>
                </a:lnTo>
                <a:lnTo>
                  <a:pt x="245" y="142"/>
                </a:lnTo>
                <a:lnTo>
                  <a:pt x="245" y="145"/>
                </a:lnTo>
                <a:lnTo>
                  <a:pt x="245" y="147"/>
                </a:lnTo>
                <a:lnTo>
                  <a:pt x="245" y="147"/>
                </a:lnTo>
                <a:lnTo>
                  <a:pt x="246" y="147"/>
                </a:lnTo>
                <a:lnTo>
                  <a:pt x="246" y="146"/>
                </a:lnTo>
                <a:lnTo>
                  <a:pt x="247" y="144"/>
                </a:lnTo>
                <a:lnTo>
                  <a:pt x="248" y="143"/>
                </a:lnTo>
                <a:lnTo>
                  <a:pt x="248" y="142"/>
                </a:lnTo>
                <a:lnTo>
                  <a:pt x="249" y="137"/>
                </a:lnTo>
                <a:lnTo>
                  <a:pt x="249" y="131"/>
                </a:lnTo>
                <a:lnTo>
                  <a:pt x="252" y="107"/>
                </a:lnTo>
                <a:lnTo>
                  <a:pt x="257" y="83"/>
                </a:lnTo>
                <a:lnTo>
                  <a:pt x="263" y="55"/>
                </a:lnTo>
                <a:lnTo>
                  <a:pt x="272" y="27"/>
                </a:lnTo>
                <a:lnTo>
                  <a:pt x="281" y="0"/>
                </a:lnTo>
                <a:close/>
              </a:path>
            </a:pathLst>
          </a:custGeom>
          <a:solidFill>
            <a:schemeClr val="accent5"/>
          </a:solidFill>
          <a:ln w="0">
            <a:solidFill>
              <a:schemeClr val="accent5"/>
            </a:solidFill>
            <a:prstDash val="solid"/>
            <a:round/>
            <a:headEnd/>
            <a:tailEnd/>
          </a:ln>
        </xdr:spPr>
      </xdr:sp>
      <xdr:sp macro="" textlink="">
        <xdr:nvSpPr>
          <xdr:cNvPr id="53" name="Freeform 101"/>
          <xdr:cNvSpPr>
            <a:spLocks/>
          </xdr:cNvSpPr>
        </xdr:nvSpPr>
        <xdr:spPr bwMode="auto">
          <a:xfrm>
            <a:off x="147" y="66"/>
            <a:ext cx="20" cy="26"/>
          </a:xfrm>
          <a:custGeom>
            <a:avLst/>
            <a:gdLst>
              <a:gd name="T0" fmla="*/ 80 w 101"/>
              <a:gd name="T1" fmla="*/ 0 h 127"/>
              <a:gd name="T2" fmla="*/ 88 w 101"/>
              <a:gd name="T3" fmla="*/ 0 h 127"/>
              <a:gd name="T4" fmla="*/ 93 w 101"/>
              <a:gd name="T5" fmla="*/ 4 h 127"/>
              <a:gd name="T6" fmla="*/ 97 w 101"/>
              <a:gd name="T7" fmla="*/ 13 h 127"/>
              <a:gd name="T8" fmla="*/ 99 w 101"/>
              <a:gd name="T9" fmla="*/ 24 h 127"/>
              <a:gd name="T10" fmla="*/ 99 w 101"/>
              <a:gd name="T11" fmla="*/ 33 h 127"/>
              <a:gd name="T12" fmla="*/ 99 w 101"/>
              <a:gd name="T13" fmla="*/ 36 h 127"/>
              <a:gd name="T14" fmla="*/ 99 w 101"/>
              <a:gd name="T15" fmla="*/ 39 h 127"/>
              <a:gd name="T16" fmla="*/ 98 w 101"/>
              <a:gd name="T17" fmla="*/ 43 h 127"/>
              <a:gd name="T18" fmla="*/ 96 w 101"/>
              <a:gd name="T19" fmla="*/ 54 h 127"/>
              <a:gd name="T20" fmla="*/ 95 w 101"/>
              <a:gd name="T21" fmla="*/ 66 h 127"/>
              <a:gd name="T22" fmla="*/ 96 w 101"/>
              <a:gd name="T23" fmla="*/ 77 h 127"/>
              <a:gd name="T24" fmla="*/ 99 w 101"/>
              <a:gd name="T25" fmla="*/ 83 h 127"/>
              <a:gd name="T26" fmla="*/ 101 w 101"/>
              <a:gd name="T27" fmla="*/ 88 h 127"/>
              <a:gd name="T28" fmla="*/ 101 w 101"/>
              <a:gd name="T29" fmla="*/ 95 h 127"/>
              <a:gd name="T30" fmla="*/ 101 w 101"/>
              <a:gd name="T31" fmla="*/ 97 h 127"/>
              <a:gd name="T32" fmla="*/ 101 w 101"/>
              <a:gd name="T33" fmla="*/ 98 h 127"/>
              <a:gd name="T34" fmla="*/ 101 w 101"/>
              <a:gd name="T35" fmla="*/ 100 h 127"/>
              <a:gd name="T36" fmla="*/ 82 w 101"/>
              <a:gd name="T37" fmla="*/ 114 h 127"/>
              <a:gd name="T38" fmla="*/ 62 w 101"/>
              <a:gd name="T39" fmla="*/ 127 h 127"/>
              <a:gd name="T40" fmla="*/ 61 w 101"/>
              <a:gd name="T41" fmla="*/ 127 h 127"/>
              <a:gd name="T42" fmla="*/ 38 w 101"/>
              <a:gd name="T43" fmla="*/ 114 h 127"/>
              <a:gd name="T44" fmla="*/ 18 w 101"/>
              <a:gd name="T45" fmla="*/ 99 h 127"/>
              <a:gd name="T46" fmla="*/ 0 w 101"/>
              <a:gd name="T47" fmla="*/ 80 h 127"/>
              <a:gd name="T48" fmla="*/ 13 w 101"/>
              <a:gd name="T49" fmla="*/ 56 h 127"/>
              <a:gd name="T50" fmla="*/ 24 w 101"/>
              <a:gd name="T51" fmla="*/ 41 h 127"/>
              <a:gd name="T52" fmla="*/ 39 w 101"/>
              <a:gd name="T53" fmla="*/ 26 h 127"/>
              <a:gd name="T54" fmla="*/ 53 w 101"/>
              <a:gd name="T55" fmla="*/ 13 h 127"/>
              <a:gd name="T56" fmla="*/ 58 w 101"/>
              <a:gd name="T57" fmla="*/ 10 h 127"/>
              <a:gd name="T58" fmla="*/ 65 w 101"/>
              <a:gd name="T59" fmla="*/ 5 h 127"/>
              <a:gd name="T60" fmla="*/ 73 w 101"/>
              <a:gd name="T61" fmla="*/ 2 h 127"/>
              <a:gd name="T62" fmla="*/ 80 w 101"/>
              <a:gd name="T63" fmla="*/ 0 h 12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101" h="127">
                <a:moveTo>
                  <a:pt x="80" y="0"/>
                </a:moveTo>
                <a:lnTo>
                  <a:pt x="88" y="0"/>
                </a:lnTo>
                <a:lnTo>
                  <a:pt x="93" y="4"/>
                </a:lnTo>
                <a:lnTo>
                  <a:pt x="97" y="13"/>
                </a:lnTo>
                <a:lnTo>
                  <a:pt x="99" y="24"/>
                </a:lnTo>
                <a:lnTo>
                  <a:pt x="99" y="33"/>
                </a:lnTo>
                <a:lnTo>
                  <a:pt x="99" y="36"/>
                </a:lnTo>
                <a:lnTo>
                  <a:pt x="99" y="39"/>
                </a:lnTo>
                <a:lnTo>
                  <a:pt x="98" y="43"/>
                </a:lnTo>
                <a:lnTo>
                  <a:pt x="96" y="54"/>
                </a:lnTo>
                <a:lnTo>
                  <a:pt x="95" y="66"/>
                </a:lnTo>
                <a:lnTo>
                  <a:pt x="96" y="77"/>
                </a:lnTo>
                <a:lnTo>
                  <a:pt x="99" y="83"/>
                </a:lnTo>
                <a:lnTo>
                  <a:pt x="101" y="88"/>
                </a:lnTo>
                <a:lnTo>
                  <a:pt x="101" y="95"/>
                </a:lnTo>
                <a:lnTo>
                  <a:pt x="101" y="97"/>
                </a:lnTo>
                <a:lnTo>
                  <a:pt x="101" y="98"/>
                </a:lnTo>
                <a:lnTo>
                  <a:pt x="101" y="100"/>
                </a:lnTo>
                <a:lnTo>
                  <a:pt x="82" y="114"/>
                </a:lnTo>
                <a:lnTo>
                  <a:pt x="62" y="127"/>
                </a:lnTo>
                <a:lnTo>
                  <a:pt x="61" y="127"/>
                </a:lnTo>
                <a:lnTo>
                  <a:pt x="38" y="114"/>
                </a:lnTo>
                <a:lnTo>
                  <a:pt x="18" y="99"/>
                </a:lnTo>
                <a:lnTo>
                  <a:pt x="0" y="80"/>
                </a:lnTo>
                <a:lnTo>
                  <a:pt x="13" y="56"/>
                </a:lnTo>
                <a:lnTo>
                  <a:pt x="24" y="41"/>
                </a:lnTo>
                <a:lnTo>
                  <a:pt x="39" y="26"/>
                </a:lnTo>
                <a:lnTo>
                  <a:pt x="53" y="13"/>
                </a:lnTo>
                <a:lnTo>
                  <a:pt x="58" y="10"/>
                </a:lnTo>
                <a:lnTo>
                  <a:pt x="65" y="5"/>
                </a:lnTo>
                <a:lnTo>
                  <a:pt x="73" y="2"/>
                </a:lnTo>
                <a:lnTo>
                  <a:pt x="80" y="0"/>
                </a:lnTo>
                <a:close/>
              </a:path>
            </a:pathLst>
          </a:custGeom>
          <a:solidFill>
            <a:schemeClr val="accent3">
              <a:lumMod val="75000"/>
            </a:schemeClr>
          </a:solidFill>
          <a:ln w="0">
            <a:solidFill>
              <a:schemeClr val="accent3">
                <a:lumMod val="75000"/>
              </a:schemeClr>
            </a:solidFill>
            <a:prstDash val="solid"/>
            <a:round/>
            <a:headEnd/>
            <a:tailEnd/>
          </a:ln>
        </xdr:spPr>
      </xdr:sp>
      <xdr:sp macro="" textlink="">
        <xdr:nvSpPr>
          <xdr:cNvPr id="54" name="Freeform 102"/>
          <xdr:cNvSpPr>
            <a:spLocks/>
          </xdr:cNvSpPr>
        </xdr:nvSpPr>
        <xdr:spPr bwMode="auto">
          <a:xfrm>
            <a:off x="88" y="95"/>
            <a:ext cx="13" cy="10"/>
          </a:xfrm>
          <a:custGeom>
            <a:avLst/>
            <a:gdLst>
              <a:gd name="T0" fmla="*/ 67 w 67"/>
              <a:gd name="T1" fmla="*/ 0 h 49"/>
              <a:gd name="T2" fmla="*/ 52 w 67"/>
              <a:gd name="T3" fmla="*/ 18 h 49"/>
              <a:gd name="T4" fmla="*/ 36 w 67"/>
              <a:gd name="T5" fmla="*/ 34 h 49"/>
              <a:gd name="T6" fmla="*/ 16 w 67"/>
              <a:gd name="T7" fmla="*/ 49 h 49"/>
              <a:gd name="T8" fmla="*/ 8 w 67"/>
              <a:gd name="T9" fmla="*/ 38 h 49"/>
              <a:gd name="T10" fmla="*/ 0 w 67"/>
              <a:gd name="T11" fmla="*/ 27 h 49"/>
              <a:gd name="T12" fmla="*/ 0 w 67"/>
              <a:gd name="T13" fmla="*/ 27 h 49"/>
              <a:gd name="T14" fmla="*/ 0 w 67"/>
              <a:gd name="T15" fmla="*/ 22 h 49"/>
              <a:gd name="T16" fmla="*/ 1 w 67"/>
              <a:gd name="T17" fmla="*/ 17 h 49"/>
              <a:gd name="T18" fmla="*/ 2 w 67"/>
              <a:gd name="T19" fmla="*/ 14 h 49"/>
              <a:gd name="T20" fmla="*/ 7 w 67"/>
              <a:gd name="T21" fmla="*/ 11 h 49"/>
              <a:gd name="T22" fmla="*/ 17 w 67"/>
              <a:gd name="T23" fmla="*/ 6 h 49"/>
              <a:gd name="T24" fmla="*/ 29 w 67"/>
              <a:gd name="T25" fmla="*/ 3 h 49"/>
              <a:gd name="T26" fmla="*/ 47 w 67"/>
              <a:gd name="T27" fmla="*/ 0 h 49"/>
              <a:gd name="T28" fmla="*/ 67 w 67"/>
              <a:gd name="T29" fmla="*/ 0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67" h="49">
                <a:moveTo>
                  <a:pt x="67" y="0"/>
                </a:moveTo>
                <a:lnTo>
                  <a:pt x="52" y="18"/>
                </a:lnTo>
                <a:lnTo>
                  <a:pt x="36" y="34"/>
                </a:lnTo>
                <a:lnTo>
                  <a:pt x="16" y="49"/>
                </a:lnTo>
                <a:lnTo>
                  <a:pt x="8" y="38"/>
                </a:lnTo>
                <a:lnTo>
                  <a:pt x="0" y="27"/>
                </a:lnTo>
                <a:lnTo>
                  <a:pt x="0" y="27"/>
                </a:lnTo>
                <a:lnTo>
                  <a:pt x="0" y="22"/>
                </a:lnTo>
                <a:lnTo>
                  <a:pt x="1" y="17"/>
                </a:lnTo>
                <a:lnTo>
                  <a:pt x="2" y="14"/>
                </a:lnTo>
                <a:lnTo>
                  <a:pt x="7" y="11"/>
                </a:lnTo>
                <a:lnTo>
                  <a:pt x="17" y="6"/>
                </a:lnTo>
                <a:lnTo>
                  <a:pt x="29" y="3"/>
                </a:lnTo>
                <a:lnTo>
                  <a:pt x="47" y="0"/>
                </a:lnTo>
                <a:lnTo>
                  <a:pt x="67" y="0"/>
                </a:lnTo>
                <a:close/>
              </a:path>
            </a:pathLst>
          </a:custGeom>
          <a:solidFill>
            <a:schemeClr val="accent5">
              <a:lumMod val="75000"/>
            </a:schemeClr>
          </a:solidFill>
          <a:ln w="0">
            <a:solidFill>
              <a:schemeClr val="accent5">
                <a:lumMod val="75000"/>
              </a:schemeClr>
            </a:solidFill>
            <a:prstDash val="solid"/>
            <a:round/>
            <a:headEnd/>
            <a:tailEnd/>
          </a:ln>
        </xdr:spPr>
      </xdr:sp>
      <xdr:sp macro="" textlink="">
        <xdr:nvSpPr>
          <xdr:cNvPr id="55" name="Freeform 103"/>
          <xdr:cNvSpPr>
            <a:spLocks/>
          </xdr:cNvSpPr>
        </xdr:nvSpPr>
        <xdr:spPr bwMode="auto">
          <a:xfrm>
            <a:off x="115" y="78"/>
            <a:ext cx="20" cy="20"/>
          </a:xfrm>
          <a:custGeom>
            <a:avLst/>
            <a:gdLst>
              <a:gd name="T0" fmla="*/ 49 w 99"/>
              <a:gd name="T1" fmla="*/ 0 h 100"/>
              <a:gd name="T2" fmla="*/ 55 w 99"/>
              <a:gd name="T3" fmla="*/ 17 h 100"/>
              <a:gd name="T4" fmla="*/ 62 w 99"/>
              <a:gd name="T5" fmla="*/ 29 h 100"/>
              <a:gd name="T6" fmla="*/ 71 w 99"/>
              <a:gd name="T7" fmla="*/ 38 h 100"/>
              <a:gd name="T8" fmla="*/ 82 w 99"/>
              <a:gd name="T9" fmla="*/ 45 h 100"/>
              <a:gd name="T10" fmla="*/ 99 w 99"/>
              <a:gd name="T11" fmla="*/ 50 h 100"/>
              <a:gd name="T12" fmla="*/ 82 w 99"/>
              <a:gd name="T13" fmla="*/ 56 h 100"/>
              <a:gd name="T14" fmla="*/ 71 w 99"/>
              <a:gd name="T15" fmla="*/ 63 h 100"/>
              <a:gd name="T16" fmla="*/ 62 w 99"/>
              <a:gd name="T17" fmla="*/ 72 h 100"/>
              <a:gd name="T18" fmla="*/ 55 w 99"/>
              <a:gd name="T19" fmla="*/ 84 h 100"/>
              <a:gd name="T20" fmla="*/ 49 w 99"/>
              <a:gd name="T21" fmla="*/ 100 h 100"/>
              <a:gd name="T22" fmla="*/ 44 w 99"/>
              <a:gd name="T23" fmla="*/ 84 h 100"/>
              <a:gd name="T24" fmla="*/ 36 w 99"/>
              <a:gd name="T25" fmla="*/ 72 h 100"/>
              <a:gd name="T26" fmla="*/ 28 w 99"/>
              <a:gd name="T27" fmla="*/ 63 h 100"/>
              <a:gd name="T28" fmla="*/ 15 w 99"/>
              <a:gd name="T29" fmla="*/ 56 h 100"/>
              <a:gd name="T30" fmla="*/ 0 w 99"/>
              <a:gd name="T31" fmla="*/ 50 h 100"/>
              <a:gd name="T32" fmla="*/ 15 w 99"/>
              <a:gd name="T33" fmla="*/ 45 h 100"/>
              <a:gd name="T34" fmla="*/ 28 w 99"/>
              <a:gd name="T35" fmla="*/ 38 h 100"/>
              <a:gd name="T36" fmla="*/ 36 w 99"/>
              <a:gd name="T37" fmla="*/ 29 h 100"/>
              <a:gd name="T38" fmla="*/ 44 w 99"/>
              <a:gd name="T39" fmla="*/ 17 h 100"/>
              <a:gd name="T40" fmla="*/ 49 w 99"/>
              <a:gd name="T41" fmla="*/ 0 h 1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99" h="100">
                <a:moveTo>
                  <a:pt x="49" y="0"/>
                </a:moveTo>
                <a:lnTo>
                  <a:pt x="55" y="17"/>
                </a:lnTo>
                <a:lnTo>
                  <a:pt x="62" y="29"/>
                </a:lnTo>
                <a:lnTo>
                  <a:pt x="71" y="38"/>
                </a:lnTo>
                <a:lnTo>
                  <a:pt x="82" y="45"/>
                </a:lnTo>
                <a:lnTo>
                  <a:pt x="99" y="50"/>
                </a:lnTo>
                <a:lnTo>
                  <a:pt x="82" y="56"/>
                </a:lnTo>
                <a:lnTo>
                  <a:pt x="71" y="63"/>
                </a:lnTo>
                <a:lnTo>
                  <a:pt x="62" y="72"/>
                </a:lnTo>
                <a:lnTo>
                  <a:pt x="55" y="84"/>
                </a:lnTo>
                <a:lnTo>
                  <a:pt x="49" y="100"/>
                </a:lnTo>
                <a:lnTo>
                  <a:pt x="44" y="84"/>
                </a:lnTo>
                <a:lnTo>
                  <a:pt x="36" y="72"/>
                </a:lnTo>
                <a:lnTo>
                  <a:pt x="28" y="63"/>
                </a:lnTo>
                <a:lnTo>
                  <a:pt x="15" y="56"/>
                </a:lnTo>
                <a:lnTo>
                  <a:pt x="0" y="50"/>
                </a:lnTo>
                <a:lnTo>
                  <a:pt x="15" y="45"/>
                </a:lnTo>
                <a:lnTo>
                  <a:pt x="28" y="38"/>
                </a:lnTo>
                <a:lnTo>
                  <a:pt x="36" y="29"/>
                </a:lnTo>
                <a:lnTo>
                  <a:pt x="44" y="17"/>
                </a:lnTo>
                <a:lnTo>
                  <a:pt x="49" y="0"/>
                </a:lnTo>
                <a:close/>
              </a:path>
            </a:pathLst>
          </a:custGeom>
          <a:solidFill>
            <a:schemeClr val="accent1"/>
          </a:solidFill>
          <a:ln w="0">
            <a:solidFill>
              <a:schemeClr val="accent1"/>
            </a:solidFill>
            <a:prstDash val="solid"/>
            <a:round/>
            <a:headEnd/>
            <a:tailEnd/>
          </a:ln>
        </xdr:spPr>
      </xdr:sp>
      <xdr:sp macro="" textlink="">
        <xdr:nvSpPr>
          <xdr:cNvPr id="56" name="Freeform 104"/>
          <xdr:cNvSpPr>
            <a:spLocks/>
          </xdr:cNvSpPr>
        </xdr:nvSpPr>
        <xdr:spPr bwMode="auto">
          <a:xfrm>
            <a:off x="86" y="70"/>
            <a:ext cx="8" cy="7"/>
          </a:xfrm>
          <a:custGeom>
            <a:avLst/>
            <a:gdLst>
              <a:gd name="T0" fmla="*/ 1 w 37"/>
              <a:gd name="T1" fmla="*/ 0 h 36"/>
              <a:gd name="T2" fmla="*/ 12 w 37"/>
              <a:gd name="T3" fmla="*/ 5 h 36"/>
              <a:gd name="T4" fmla="*/ 20 w 37"/>
              <a:gd name="T5" fmla="*/ 6 h 36"/>
              <a:gd name="T6" fmla="*/ 27 w 37"/>
              <a:gd name="T7" fmla="*/ 5 h 36"/>
              <a:gd name="T8" fmla="*/ 37 w 37"/>
              <a:gd name="T9" fmla="*/ 1 h 36"/>
              <a:gd name="T10" fmla="*/ 32 w 37"/>
              <a:gd name="T11" fmla="*/ 10 h 36"/>
              <a:gd name="T12" fmla="*/ 31 w 37"/>
              <a:gd name="T13" fmla="*/ 18 h 36"/>
              <a:gd name="T14" fmla="*/ 32 w 37"/>
              <a:gd name="T15" fmla="*/ 27 h 36"/>
              <a:gd name="T16" fmla="*/ 37 w 37"/>
              <a:gd name="T17" fmla="*/ 36 h 36"/>
              <a:gd name="T18" fmla="*/ 26 w 37"/>
              <a:gd name="T19" fmla="*/ 32 h 36"/>
              <a:gd name="T20" fmla="*/ 18 w 37"/>
              <a:gd name="T21" fmla="*/ 30 h 36"/>
              <a:gd name="T22" fmla="*/ 11 w 37"/>
              <a:gd name="T23" fmla="*/ 31 h 36"/>
              <a:gd name="T24" fmla="*/ 0 w 37"/>
              <a:gd name="T25" fmla="*/ 35 h 36"/>
              <a:gd name="T26" fmla="*/ 5 w 37"/>
              <a:gd name="T27" fmla="*/ 26 h 36"/>
              <a:gd name="T28" fmla="*/ 6 w 37"/>
              <a:gd name="T29" fmla="*/ 17 h 36"/>
              <a:gd name="T30" fmla="*/ 5 w 37"/>
              <a:gd name="T31" fmla="*/ 10 h 36"/>
              <a:gd name="T32" fmla="*/ 1 w 37"/>
              <a:gd name="T33" fmla="*/ 0 h 3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7" h="36">
                <a:moveTo>
                  <a:pt x="1" y="0"/>
                </a:moveTo>
                <a:lnTo>
                  <a:pt x="12" y="5"/>
                </a:lnTo>
                <a:lnTo>
                  <a:pt x="20" y="6"/>
                </a:lnTo>
                <a:lnTo>
                  <a:pt x="27" y="5"/>
                </a:lnTo>
                <a:lnTo>
                  <a:pt x="37" y="1"/>
                </a:lnTo>
                <a:lnTo>
                  <a:pt x="32" y="10"/>
                </a:lnTo>
                <a:lnTo>
                  <a:pt x="31" y="18"/>
                </a:lnTo>
                <a:lnTo>
                  <a:pt x="32" y="27"/>
                </a:lnTo>
                <a:lnTo>
                  <a:pt x="37" y="36"/>
                </a:lnTo>
                <a:lnTo>
                  <a:pt x="26" y="32"/>
                </a:lnTo>
                <a:lnTo>
                  <a:pt x="18" y="30"/>
                </a:lnTo>
                <a:lnTo>
                  <a:pt x="11" y="31"/>
                </a:lnTo>
                <a:lnTo>
                  <a:pt x="0" y="35"/>
                </a:lnTo>
                <a:lnTo>
                  <a:pt x="5" y="26"/>
                </a:lnTo>
                <a:lnTo>
                  <a:pt x="6" y="17"/>
                </a:lnTo>
                <a:lnTo>
                  <a:pt x="5" y="10"/>
                </a:lnTo>
                <a:lnTo>
                  <a:pt x="1" y="0"/>
                </a:lnTo>
                <a:close/>
              </a:path>
            </a:pathLst>
          </a:custGeom>
          <a:solidFill>
            <a:schemeClr val="accent2"/>
          </a:solidFill>
          <a:ln w="0">
            <a:solidFill>
              <a:schemeClr val="accent2"/>
            </a:solidFill>
            <a:prstDash val="solid"/>
            <a:round/>
            <a:headEnd/>
            <a:tailEnd/>
          </a:ln>
        </xdr:spPr>
      </xdr:sp>
      <xdr:sp macro="" textlink="">
        <xdr:nvSpPr>
          <xdr:cNvPr id="57" name="Freeform 105"/>
          <xdr:cNvSpPr>
            <a:spLocks/>
          </xdr:cNvSpPr>
        </xdr:nvSpPr>
        <xdr:spPr bwMode="auto">
          <a:xfrm>
            <a:off x="639" y="32"/>
            <a:ext cx="30" cy="22"/>
          </a:xfrm>
          <a:custGeom>
            <a:avLst/>
            <a:gdLst>
              <a:gd name="T0" fmla="*/ 57 w 148"/>
              <a:gd name="T1" fmla="*/ 0 h 108"/>
              <a:gd name="T2" fmla="*/ 91 w 148"/>
              <a:gd name="T3" fmla="*/ 0 h 108"/>
              <a:gd name="T4" fmla="*/ 101 w 148"/>
              <a:gd name="T5" fmla="*/ 12 h 108"/>
              <a:gd name="T6" fmla="*/ 112 w 148"/>
              <a:gd name="T7" fmla="*/ 20 h 108"/>
              <a:gd name="T8" fmla="*/ 128 w 148"/>
              <a:gd name="T9" fmla="*/ 27 h 108"/>
              <a:gd name="T10" fmla="*/ 148 w 148"/>
              <a:gd name="T11" fmla="*/ 34 h 108"/>
              <a:gd name="T12" fmla="*/ 127 w 148"/>
              <a:gd name="T13" fmla="*/ 42 h 108"/>
              <a:gd name="T14" fmla="*/ 111 w 148"/>
              <a:gd name="T15" fmla="*/ 50 h 108"/>
              <a:gd name="T16" fmla="*/ 98 w 148"/>
              <a:gd name="T17" fmla="*/ 59 h 108"/>
              <a:gd name="T18" fmla="*/ 89 w 148"/>
              <a:gd name="T19" fmla="*/ 72 h 108"/>
              <a:gd name="T20" fmla="*/ 81 w 148"/>
              <a:gd name="T21" fmla="*/ 88 h 108"/>
              <a:gd name="T22" fmla="*/ 73 w 148"/>
              <a:gd name="T23" fmla="*/ 108 h 108"/>
              <a:gd name="T24" fmla="*/ 66 w 148"/>
              <a:gd name="T25" fmla="*/ 88 h 108"/>
              <a:gd name="T26" fmla="*/ 59 w 148"/>
              <a:gd name="T27" fmla="*/ 72 h 108"/>
              <a:gd name="T28" fmla="*/ 49 w 148"/>
              <a:gd name="T29" fmla="*/ 59 h 108"/>
              <a:gd name="T30" fmla="*/ 37 w 148"/>
              <a:gd name="T31" fmla="*/ 50 h 108"/>
              <a:gd name="T32" fmla="*/ 20 w 148"/>
              <a:gd name="T33" fmla="*/ 42 h 108"/>
              <a:gd name="T34" fmla="*/ 0 w 148"/>
              <a:gd name="T35" fmla="*/ 34 h 108"/>
              <a:gd name="T36" fmla="*/ 19 w 148"/>
              <a:gd name="T37" fmla="*/ 27 h 108"/>
              <a:gd name="T38" fmla="*/ 35 w 148"/>
              <a:gd name="T39" fmla="*/ 20 h 108"/>
              <a:gd name="T40" fmla="*/ 47 w 148"/>
              <a:gd name="T41" fmla="*/ 12 h 108"/>
              <a:gd name="T42" fmla="*/ 57 w 148"/>
              <a:gd name="T43" fmla="*/ 0 h 1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148" h="108">
                <a:moveTo>
                  <a:pt x="57" y="0"/>
                </a:moveTo>
                <a:lnTo>
                  <a:pt x="91" y="0"/>
                </a:lnTo>
                <a:lnTo>
                  <a:pt x="101" y="12"/>
                </a:lnTo>
                <a:lnTo>
                  <a:pt x="112" y="20"/>
                </a:lnTo>
                <a:lnTo>
                  <a:pt x="128" y="27"/>
                </a:lnTo>
                <a:lnTo>
                  <a:pt x="148" y="34"/>
                </a:lnTo>
                <a:lnTo>
                  <a:pt x="127" y="42"/>
                </a:lnTo>
                <a:lnTo>
                  <a:pt x="111" y="50"/>
                </a:lnTo>
                <a:lnTo>
                  <a:pt x="98" y="59"/>
                </a:lnTo>
                <a:lnTo>
                  <a:pt x="89" y="72"/>
                </a:lnTo>
                <a:lnTo>
                  <a:pt x="81" y="88"/>
                </a:lnTo>
                <a:lnTo>
                  <a:pt x="73" y="108"/>
                </a:lnTo>
                <a:lnTo>
                  <a:pt x="66" y="88"/>
                </a:lnTo>
                <a:lnTo>
                  <a:pt x="59" y="72"/>
                </a:lnTo>
                <a:lnTo>
                  <a:pt x="49" y="59"/>
                </a:lnTo>
                <a:lnTo>
                  <a:pt x="37" y="50"/>
                </a:lnTo>
                <a:lnTo>
                  <a:pt x="20" y="42"/>
                </a:lnTo>
                <a:lnTo>
                  <a:pt x="0" y="34"/>
                </a:lnTo>
                <a:lnTo>
                  <a:pt x="19" y="27"/>
                </a:lnTo>
                <a:lnTo>
                  <a:pt x="35" y="20"/>
                </a:lnTo>
                <a:lnTo>
                  <a:pt x="47" y="12"/>
                </a:lnTo>
                <a:lnTo>
                  <a:pt x="57" y="0"/>
                </a:lnTo>
                <a:close/>
              </a:path>
            </a:pathLst>
          </a:custGeom>
          <a:solidFill>
            <a:schemeClr val="accent4"/>
          </a:solidFill>
          <a:ln w="0">
            <a:solidFill>
              <a:schemeClr val="accent4"/>
            </a:solidFill>
            <a:prstDash val="solid"/>
            <a:round/>
            <a:headEnd/>
            <a:tailEnd/>
          </a:ln>
        </xdr:spPr>
      </xdr:sp>
      <xdr:sp macro="" textlink="">
        <xdr:nvSpPr>
          <xdr:cNvPr id="58" name="Freeform 106"/>
          <xdr:cNvSpPr>
            <a:spLocks/>
          </xdr:cNvSpPr>
        </xdr:nvSpPr>
        <xdr:spPr bwMode="auto">
          <a:xfrm>
            <a:off x="695" y="110"/>
            <a:ext cx="9" cy="10"/>
          </a:xfrm>
          <a:custGeom>
            <a:avLst/>
            <a:gdLst>
              <a:gd name="T0" fmla="*/ 0 w 46"/>
              <a:gd name="T1" fmla="*/ 0 h 48"/>
              <a:gd name="T2" fmla="*/ 10 w 46"/>
              <a:gd name="T3" fmla="*/ 5 h 48"/>
              <a:gd name="T4" fmla="*/ 18 w 46"/>
              <a:gd name="T5" fmla="*/ 8 h 48"/>
              <a:gd name="T6" fmla="*/ 27 w 46"/>
              <a:gd name="T7" fmla="*/ 8 h 48"/>
              <a:gd name="T8" fmla="*/ 36 w 46"/>
              <a:gd name="T9" fmla="*/ 5 h 48"/>
              <a:gd name="T10" fmla="*/ 46 w 46"/>
              <a:gd name="T11" fmla="*/ 0 h 48"/>
              <a:gd name="T12" fmla="*/ 41 w 46"/>
              <a:gd name="T13" fmla="*/ 11 h 48"/>
              <a:gd name="T14" fmla="*/ 39 w 46"/>
              <a:gd name="T15" fmla="*/ 19 h 48"/>
              <a:gd name="T16" fmla="*/ 39 w 46"/>
              <a:gd name="T17" fmla="*/ 28 h 48"/>
              <a:gd name="T18" fmla="*/ 41 w 46"/>
              <a:gd name="T19" fmla="*/ 36 h 48"/>
              <a:gd name="T20" fmla="*/ 46 w 46"/>
              <a:gd name="T21" fmla="*/ 48 h 48"/>
              <a:gd name="T22" fmla="*/ 36 w 46"/>
              <a:gd name="T23" fmla="*/ 42 h 48"/>
              <a:gd name="T24" fmla="*/ 27 w 46"/>
              <a:gd name="T25" fmla="*/ 39 h 48"/>
              <a:gd name="T26" fmla="*/ 18 w 46"/>
              <a:gd name="T27" fmla="*/ 39 h 48"/>
              <a:gd name="T28" fmla="*/ 10 w 46"/>
              <a:gd name="T29" fmla="*/ 42 h 48"/>
              <a:gd name="T30" fmla="*/ 0 w 46"/>
              <a:gd name="T31" fmla="*/ 48 h 48"/>
              <a:gd name="T32" fmla="*/ 4 w 46"/>
              <a:gd name="T33" fmla="*/ 36 h 48"/>
              <a:gd name="T34" fmla="*/ 7 w 46"/>
              <a:gd name="T35" fmla="*/ 28 h 48"/>
              <a:gd name="T36" fmla="*/ 7 w 46"/>
              <a:gd name="T37" fmla="*/ 19 h 48"/>
              <a:gd name="T38" fmla="*/ 4 w 46"/>
              <a:gd name="T39" fmla="*/ 11 h 48"/>
              <a:gd name="T40" fmla="*/ 0 w 46"/>
              <a:gd name="T41"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46" h="48">
                <a:moveTo>
                  <a:pt x="0" y="0"/>
                </a:moveTo>
                <a:lnTo>
                  <a:pt x="10" y="5"/>
                </a:lnTo>
                <a:lnTo>
                  <a:pt x="18" y="8"/>
                </a:lnTo>
                <a:lnTo>
                  <a:pt x="27" y="8"/>
                </a:lnTo>
                <a:lnTo>
                  <a:pt x="36" y="5"/>
                </a:lnTo>
                <a:lnTo>
                  <a:pt x="46" y="0"/>
                </a:lnTo>
                <a:lnTo>
                  <a:pt x="41" y="11"/>
                </a:lnTo>
                <a:lnTo>
                  <a:pt x="39" y="19"/>
                </a:lnTo>
                <a:lnTo>
                  <a:pt x="39" y="28"/>
                </a:lnTo>
                <a:lnTo>
                  <a:pt x="41" y="36"/>
                </a:lnTo>
                <a:lnTo>
                  <a:pt x="46" y="48"/>
                </a:lnTo>
                <a:lnTo>
                  <a:pt x="36" y="42"/>
                </a:lnTo>
                <a:lnTo>
                  <a:pt x="27" y="39"/>
                </a:lnTo>
                <a:lnTo>
                  <a:pt x="18" y="39"/>
                </a:lnTo>
                <a:lnTo>
                  <a:pt x="10" y="42"/>
                </a:lnTo>
                <a:lnTo>
                  <a:pt x="0" y="48"/>
                </a:lnTo>
                <a:lnTo>
                  <a:pt x="4" y="36"/>
                </a:lnTo>
                <a:lnTo>
                  <a:pt x="7" y="28"/>
                </a:lnTo>
                <a:lnTo>
                  <a:pt x="7" y="19"/>
                </a:lnTo>
                <a:lnTo>
                  <a:pt x="4" y="11"/>
                </a:lnTo>
                <a:lnTo>
                  <a:pt x="0" y="0"/>
                </a:lnTo>
                <a:close/>
              </a:path>
            </a:pathLst>
          </a:custGeom>
          <a:solidFill>
            <a:schemeClr val="accent6"/>
          </a:solidFill>
          <a:ln w="0">
            <a:solidFill>
              <a:schemeClr val="accent6"/>
            </a:solidFill>
            <a:prstDash val="solid"/>
            <a:round/>
            <a:headEnd/>
            <a:tailEnd/>
          </a:ln>
        </xdr:spPr>
      </xdr:sp>
      <xdr:sp macro="" textlink="">
        <xdr:nvSpPr>
          <xdr:cNvPr id="59" name="Freeform 107"/>
          <xdr:cNvSpPr>
            <a:spLocks/>
          </xdr:cNvSpPr>
        </xdr:nvSpPr>
        <xdr:spPr bwMode="auto">
          <a:xfrm>
            <a:off x="648" y="79"/>
            <a:ext cx="9" cy="10"/>
          </a:xfrm>
          <a:custGeom>
            <a:avLst/>
            <a:gdLst>
              <a:gd name="T0" fmla="*/ 23 w 46"/>
              <a:gd name="T1" fmla="*/ 0 h 47"/>
              <a:gd name="T2" fmla="*/ 27 w 46"/>
              <a:gd name="T3" fmla="*/ 12 h 47"/>
              <a:gd name="T4" fmla="*/ 35 w 46"/>
              <a:gd name="T5" fmla="*/ 19 h 47"/>
              <a:gd name="T6" fmla="*/ 46 w 46"/>
              <a:gd name="T7" fmla="*/ 24 h 47"/>
              <a:gd name="T8" fmla="*/ 35 w 46"/>
              <a:gd name="T9" fmla="*/ 29 h 47"/>
              <a:gd name="T10" fmla="*/ 27 w 46"/>
              <a:gd name="T11" fmla="*/ 36 h 47"/>
              <a:gd name="T12" fmla="*/ 23 w 46"/>
              <a:gd name="T13" fmla="*/ 47 h 47"/>
              <a:gd name="T14" fmla="*/ 18 w 46"/>
              <a:gd name="T15" fmla="*/ 36 h 47"/>
              <a:gd name="T16" fmla="*/ 12 w 46"/>
              <a:gd name="T17" fmla="*/ 29 h 47"/>
              <a:gd name="T18" fmla="*/ 0 w 46"/>
              <a:gd name="T19" fmla="*/ 24 h 47"/>
              <a:gd name="T20" fmla="*/ 12 w 46"/>
              <a:gd name="T21" fmla="*/ 19 h 47"/>
              <a:gd name="T22" fmla="*/ 18 w 46"/>
              <a:gd name="T23" fmla="*/ 12 h 47"/>
              <a:gd name="T24" fmla="*/ 23 w 46"/>
              <a:gd name="T25" fmla="*/ 0 h 4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46" h="47">
                <a:moveTo>
                  <a:pt x="23" y="0"/>
                </a:moveTo>
                <a:lnTo>
                  <a:pt x="27" y="12"/>
                </a:lnTo>
                <a:lnTo>
                  <a:pt x="35" y="19"/>
                </a:lnTo>
                <a:lnTo>
                  <a:pt x="46" y="24"/>
                </a:lnTo>
                <a:lnTo>
                  <a:pt x="35" y="29"/>
                </a:lnTo>
                <a:lnTo>
                  <a:pt x="27" y="36"/>
                </a:lnTo>
                <a:lnTo>
                  <a:pt x="23" y="47"/>
                </a:lnTo>
                <a:lnTo>
                  <a:pt x="18" y="36"/>
                </a:lnTo>
                <a:lnTo>
                  <a:pt x="12" y="29"/>
                </a:lnTo>
                <a:lnTo>
                  <a:pt x="0" y="24"/>
                </a:lnTo>
                <a:lnTo>
                  <a:pt x="12" y="19"/>
                </a:lnTo>
                <a:lnTo>
                  <a:pt x="18" y="12"/>
                </a:lnTo>
                <a:lnTo>
                  <a:pt x="23" y="0"/>
                </a:lnTo>
                <a:close/>
              </a:path>
            </a:pathLst>
          </a:custGeom>
          <a:solidFill>
            <a:schemeClr val="accent1"/>
          </a:solidFill>
          <a:ln w="0">
            <a:solidFill>
              <a:schemeClr val="accent1"/>
            </a:solidFill>
            <a:prstDash val="solid"/>
            <a:round/>
            <a:headEnd/>
            <a:tailEnd/>
          </a:ln>
        </xdr:spPr>
      </xdr:sp>
      <xdr:sp macro="" textlink="">
        <xdr:nvSpPr>
          <xdr:cNvPr id="60" name="Freeform 108"/>
          <xdr:cNvSpPr>
            <a:spLocks/>
          </xdr:cNvSpPr>
        </xdr:nvSpPr>
        <xdr:spPr bwMode="auto">
          <a:xfrm>
            <a:off x="341" y="93"/>
            <a:ext cx="13" cy="13"/>
          </a:xfrm>
          <a:custGeom>
            <a:avLst/>
            <a:gdLst>
              <a:gd name="T0" fmla="*/ 32 w 64"/>
              <a:gd name="T1" fmla="*/ 0 h 65"/>
              <a:gd name="T2" fmla="*/ 37 w 64"/>
              <a:gd name="T3" fmla="*/ 13 h 65"/>
              <a:gd name="T4" fmla="*/ 43 w 64"/>
              <a:gd name="T5" fmla="*/ 21 h 65"/>
              <a:gd name="T6" fmla="*/ 52 w 64"/>
              <a:gd name="T7" fmla="*/ 27 h 65"/>
              <a:gd name="T8" fmla="*/ 64 w 64"/>
              <a:gd name="T9" fmla="*/ 33 h 65"/>
              <a:gd name="T10" fmla="*/ 52 w 64"/>
              <a:gd name="T11" fmla="*/ 38 h 65"/>
              <a:gd name="T12" fmla="*/ 43 w 64"/>
              <a:gd name="T13" fmla="*/ 43 h 65"/>
              <a:gd name="T14" fmla="*/ 37 w 64"/>
              <a:gd name="T15" fmla="*/ 52 h 65"/>
              <a:gd name="T16" fmla="*/ 32 w 64"/>
              <a:gd name="T17" fmla="*/ 65 h 65"/>
              <a:gd name="T18" fmla="*/ 27 w 64"/>
              <a:gd name="T19" fmla="*/ 52 h 65"/>
              <a:gd name="T20" fmla="*/ 21 w 64"/>
              <a:gd name="T21" fmla="*/ 43 h 65"/>
              <a:gd name="T22" fmla="*/ 12 w 64"/>
              <a:gd name="T23" fmla="*/ 38 h 65"/>
              <a:gd name="T24" fmla="*/ 0 w 64"/>
              <a:gd name="T25" fmla="*/ 33 h 65"/>
              <a:gd name="T26" fmla="*/ 12 w 64"/>
              <a:gd name="T27" fmla="*/ 27 h 65"/>
              <a:gd name="T28" fmla="*/ 21 w 64"/>
              <a:gd name="T29" fmla="*/ 21 h 65"/>
              <a:gd name="T30" fmla="*/ 27 w 64"/>
              <a:gd name="T31" fmla="*/ 13 h 65"/>
              <a:gd name="T32" fmla="*/ 32 w 64"/>
              <a:gd name="T33" fmla="*/ 0 h 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64" h="65">
                <a:moveTo>
                  <a:pt x="32" y="0"/>
                </a:moveTo>
                <a:lnTo>
                  <a:pt x="37" y="13"/>
                </a:lnTo>
                <a:lnTo>
                  <a:pt x="43" y="21"/>
                </a:lnTo>
                <a:lnTo>
                  <a:pt x="52" y="27"/>
                </a:lnTo>
                <a:lnTo>
                  <a:pt x="64" y="33"/>
                </a:lnTo>
                <a:lnTo>
                  <a:pt x="52" y="38"/>
                </a:lnTo>
                <a:lnTo>
                  <a:pt x="43" y="43"/>
                </a:lnTo>
                <a:lnTo>
                  <a:pt x="37" y="52"/>
                </a:lnTo>
                <a:lnTo>
                  <a:pt x="32" y="65"/>
                </a:lnTo>
                <a:lnTo>
                  <a:pt x="27" y="52"/>
                </a:lnTo>
                <a:lnTo>
                  <a:pt x="21" y="43"/>
                </a:lnTo>
                <a:lnTo>
                  <a:pt x="12" y="38"/>
                </a:lnTo>
                <a:lnTo>
                  <a:pt x="0" y="33"/>
                </a:lnTo>
                <a:lnTo>
                  <a:pt x="12" y="27"/>
                </a:lnTo>
                <a:lnTo>
                  <a:pt x="21" y="21"/>
                </a:lnTo>
                <a:lnTo>
                  <a:pt x="27" y="13"/>
                </a:lnTo>
                <a:lnTo>
                  <a:pt x="32" y="0"/>
                </a:lnTo>
                <a:close/>
              </a:path>
            </a:pathLst>
          </a:custGeom>
          <a:solidFill>
            <a:schemeClr val="accent2"/>
          </a:solidFill>
          <a:ln w="0">
            <a:noFill/>
            <a:prstDash val="solid"/>
            <a:round/>
            <a:headEnd/>
            <a:tailEnd/>
          </a:ln>
        </xdr:spPr>
      </xdr:sp>
      <xdr:sp macro="" textlink="">
        <xdr:nvSpPr>
          <xdr:cNvPr id="61" name="Freeform 109"/>
          <xdr:cNvSpPr>
            <a:spLocks/>
          </xdr:cNvSpPr>
        </xdr:nvSpPr>
        <xdr:spPr bwMode="auto">
          <a:xfrm>
            <a:off x="431" y="32"/>
            <a:ext cx="74" cy="45"/>
          </a:xfrm>
          <a:custGeom>
            <a:avLst/>
            <a:gdLst>
              <a:gd name="T0" fmla="*/ 153 w 373"/>
              <a:gd name="T1" fmla="*/ 2 h 221"/>
              <a:gd name="T2" fmla="*/ 163 w 373"/>
              <a:gd name="T3" fmla="*/ 39 h 221"/>
              <a:gd name="T4" fmla="*/ 168 w 373"/>
              <a:gd name="T5" fmla="*/ 62 h 221"/>
              <a:gd name="T6" fmla="*/ 172 w 373"/>
              <a:gd name="T7" fmla="*/ 57 h 221"/>
              <a:gd name="T8" fmla="*/ 174 w 373"/>
              <a:gd name="T9" fmla="*/ 53 h 221"/>
              <a:gd name="T10" fmla="*/ 176 w 373"/>
              <a:gd name="T11" fmla="*/ 48 h 221"/>
              <a:gd name="T12" fmla="*/ 183 w 373"/>
              <a:gd name="T13" fmla="*/ 47 h 221"/>
              <a:gd name="T14" fmla="*/ 188 w 373"/>
              <a:gd name="T15" fmla="*/ 49 h 221"/>
              <a:gd name="T16" fmla="*/ 193 w 373"/>
              <a:gd name="T17" fmla="*/ 51 h 221"/>
              <a:gd name="T18" fmla="*/ 192 w 373"/>
              <a:gd name="T19" fmla="*/ 57 h 221"/>
              <a:gd name="T20" fmla="*/ 191 w 373"/>
              <a:gd name="T21" fmla="*/ 63 h 221"/>
              <a:gd name="T22" fmla="*/ 215 w 373"/>
              <a:gd name="T23" fmla="*/ 53 h 221"/>
              <a:gd name="T24" fmla="*/ 288 w 373"/>
              <a:gd name="T25" fmla="*/ 20 h 221"/>
              <a:gd name="T26" fmla="*/ 346 w 373"/>
              <a:gd name="T27" fmla="*/ 13 h 221"/>
              <a:gd name="T28" fmla="*/ 370 w 373"/>
              <a:gd name="T29" fmla="*/ 20 h 221"/>
              <a:gd name="T30" fmla="*/ 369 w 373"/>
              <a:gd name="T31" fmla="*/ 43 h 221"/>
              <a:gd name="T32" fmla="*/ 351 w 373"/>
              <a:gd name="T33" fmla="*/ 72 h 221"/>
              <a:gd name="T34" fmla="*/ 334 w 373"/>
              <a:gd name="T35" fmla="*/ 109 h 221"/>
              <a:gd name="T36" fmla="*/ 308 w 373"/>
              <a:gd name="T37" fmla="*/ 125 h 221"/>
              <a:gd name="T38" fmla="*/ 267 w 373"/>
              <a:gd name="T39" fmla="*/ 120 h 221"/>
              <a:gd name="T40" fmla="*/ 274 w 373"/>
              <a:gd name="T41" fmla="*/ 123 h 221"/>
              <a:gd name="T42" fmla="*/ 286 w 373"/>
              <a:gd name="T43" fmla="*/ 129 h 221"/>
              <a:gd name="T44" fmla="*/ 300 w 373"/>
              <a:gd name="T45" fmla="*/ 145 h 221"/>
              <a:gd name="T46" fmla="*/ 305 w 373"/>
              <a:gd name="T47" fmla="*/ 156 h 221"/>
              <a:gd name="T48" fmla="*/ 306 w 373"/>
              <a:gd name="T49" fmla="*/ 170 h 221"/>
              <a:gd name="T50" fmla="*/ 303 w 373"/>
              <a:gd name="T51" fmla="*/ 197 h 221"/>
              <a:gd name="T52" fmla="*/ 291 w 373"/>
              <a:gd name="T53" fmla="*/ 211 h 221"/>
              <a:gd name="T54" fmla="*/ 263 w 373"/>
              <a:gd name="T55" fmla="*/ 190 h 221"/>
              <a:gd name="T56" fmla="*/ 245 w 373"/>
              <a:gd name="T57" fmla="*/ 164 h 221"/>
              <a:gd name="T58" fmla="*/ 229 w 373"/>
              <a:gd name="T59" fmla="*/ 221 h 221"/>
              <a:gd name="T60" fmla="*/ 193 w 373"/>
              <a:gd name="T61" fmla="*/ 206 h 221"/>
              <a:gd name="T62" fmla="*/ 174 w 373"/>
              <a:gd name="T63" fmla="*/ 167 h 221"/>
              <a:gd name="T64" fmla="*/ 161 w 373"/>
              <a:gd name="T65" fmla="*/ 146 h 221"/>
              <a:gd name="T66" fmla="*/ 146 w 373"/>
              <a:gd name="T67" fmla="*/ 161 h 221"/>
              <a:gd name="T68" fmla="*/ 140 w 373"/>
              <a:gd name="T69" fmla="*/ 155 h 221"/>
              <a:gd name="T70" fmla="*/ 139 w 373"/>
              <a:gd name="T71" fmla="*/ 145 h 221"/>
              <a:gd name="T72" fmla="*/ 140 w 373"/>
              <a:gd name="T73" fmla="*/ 136 h 221"/>
              <a:gd name="T74" fmla="*/ 125 w 373"/>
              <a:gd name="T75" fmla="*/ 139 h 221"/>
              <a:gd name="T76" fmla="*/ 88 w 373"/>
              <a:gd name="T77" fmla="*/ 159 h 221"/>
              <a:gd name="T78" fmla="*/ 63 w 373"/>
              <a:gd name="T79" fmla="*/ 159 h 221"/>
              <a:gd name="T80" fmla="*/ 23 w 373"/>
              <a:gd name="T81" fmla="*/ 128 h 221"/>
              <a:gd name="T82" fmla="*/ 0 w 373"/>
              <a:gd name="T83" fmla="*/ 86 h 221"/>
              <a:gd name="T84" fmla="*/ 16 w 373"/>
              <a:gd name="T85" fmla="*/ 55 h 221"/>
              <a:gd name="T86" fmla="*/ 40 w 373"/>
              <a:gd name="T87" fmla="*/ 40 h 221"/>
              <a:gd name="T88" fmla="*/ 65 w 373"/>
              <a:gd name="T89" fmla="*/ 41 h 221"/>
              <a:gd name="T90" fmla="*/ 72 w 373"/>
              <a:gd name="T91" fmla="*/ 41 h 221"/>
              <a:gd name="T92" fmla="*/ 65 w 373"/>
              <a:gd name="T93" fmla="*/ 36 h 221"/>
              <a:gd name="T94" fmla="*/ 51 w 373"/>
              <a:gd name="T95" fmla="*/ 23 h 2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73" h="221">
                <a:moveTo>
                  <a:pt x="41" y="0"/>
                </a:moveTo>
                <a:lnTo>
                  <a:pt x="152" y="0"/>
                </a:lnTo>
                <a:lnTo>
                  <a:pt x="153" y="2"/>
                </a:lnTo>
                <a:lnTo>
                  <a:pt x="157" y="11"/>
                </a:lnTo>
                <a:lnTo>
                  <a:pt x="159" y="18"/>
                </a:lnTo>
                <a:lnTo>
                  <a:pt x="163" y="39"/>
                </a:lnTo>
                <a:lnTo>
                  <a:pt x="166" y="50"/>
                </a:lnTo>
                <a:lnTo>
                  <a:pt x="168" y="62"/>
                </a:lnTo>
                <a:lnTo>
                  <a:pt x="168" y="62"/>
                </a:lnTo>
                <a:lnTo>
                  <a:pt x="169" y="61"/>
                </a:lnTo>
                <a:lnTo>
                  <a:pt x="171" y="58"/>
                </a:lnTo>
                <a:lnTo>
                  <a:pt x="172" y="57"/>
                </a:lnTo>
                <a:lnTo>
                  <a:pt x="173" y="57"/>
                </a:lnTo>
                <a:lnTo>
                  <a:pt x="174" y="55"/>
                </a:lnTo>
                <a:lnTo>
                  <a:pt x="174" y="53"/>
                </a:lnTo>
                <a:lnTo>
                  <a:pt x="175" y="51"/>
                </a:lnTo>
                <a:lnTo>
                  <a:pt x="176" y="49"/>
                </a:lnTo>
                <a:lnTo>
                  <a:pt x="176" y="48"/>
                </a:lnTo>
                <a:lnTo>
                  <a:pt x="178" y="47"/>
                </a:lnTo>
                <a:lnTo>
                  <a:pt x="179" y="47"/>
                </a:lnTo>
                <a:lnTo>
                  <a:pt x="183" y="47"/>
                </a:lnTo>
                <a:lnTo>
                  <a:pt x="184" y="47"/>
                </a:lnTo>
                <a:lnTo>
                  <a:pt x="186" y="48"/>
                </a:lnTo>
                <a:lnTo>
                  <a:pt x="188" y="49"/>
                </a:lnTo>
                <a:lnTo>
                  <a:pt x="191" y="49"/>
                </a:lnTo>
                <a:lnTo>
                  <a:pt x="192" y="50"/>
                </a:lnTo>
                <a:lnTo>
                  <a:pt x="193" y="51"/>
                </a:lnTo>
                <a:lnTo>
                  <a:pt x="193" y="53"/>
                </a:lnTo>
                <a:lnTo>
                  <a:pt x="193" y="55"/>
                </a:lnTo>
                <a:lnTo>
                  <a:pt x="192" y="57"/>
                </a:lnTo>
                <a:lnTo>
                  <a:pt x="192" y="59"/>
                </a:lnTo>
                <a:lnTo>
                  <a:pt x="191" y="62"/>
                </a:lnTo>
                <a:lnTo>
                  <a:pt x="191" y="63"/>
                </a:lnTo>
                <a:lnTo>
                  <a:pt x="190" y="66"/>
                </a:lnTo>
                <a:lnTo>
                  <a:pt x="191" y="70"/>
                </a:lnTo>
                <a:lnTo>
                  <a:pt x="215" y="53"/>
                </a:lnTo>
                <a:lnTo>
                  <a:pt x="241" y="37"/>
                </a:lnTo>
                <a:lnTo>
                  <a:pt x="264" y="26"/>
                </a:lnTo>
                <a:lnTo>
                  <a:pt x="288" y="20"/>
                </a:lnTo>
                <a:lnTo>
                  <a:pt x="313" y="16"/>
                </a:lnTo>
                <a:lnTo>
                  <a:pt x="338" y="14"/>
                </a:lnTo>
                <a:lnTo>
                  <a:pt x="346" y="13"/>
                </a:lnTo>
                <a:lnTo>
                  <a:pt x="355" y="14"/>
                </a:lnTo>
                <a:lnTo>
                  <a:pt x="364" y="16"/>
                </a:lnTo>
                <a:lnTo>
                  <a:pt x="370" y="20"/>
                </a:lnTo>
                <a:lnTo>
                  <a:pt x="373" y="26"/>
                </a:lnTo>
                <a:lnTo>
                  <a:pt x="373" y="32"/>
                </a:lnTo>
                <a:lnTo>
                  <a:pt x="369" y="43"/>
                </a:lnTo>
                <a:lnTo>
                  <a:pt x="364" y="51"/>
                </a:lnTo>
                <a:lnTo>
                  <a:pt x="359" y="59"/>
                </a:lnTo>
                <a:lnTo>
                  <a:pt x="351" y="72"/>
                </a:lnTo>
                <a:lnTo>
                  <a:pt x="346" y="87"/>
                </a:lnTo>
                <a:lnTo>
                  <a:pt x="340" y="100"/>
                </a:lnTo>
                <a:lnTo>
                  <a:pt x="334" y="109"/>
                </a:lnTo>
                <a:lnTo>
                  <a:pt x="324" y="118"/>
                </a:lnTo>
                <a:lnTo>
                  <a:pt x="315" y="123"/>
                </a:lnTo>
                <a:lnTo>
                  <a:pt x="308" y="125"/>
                </a:lnTo>
                <a:lnTo>
                  <a:pt x="300" y="125"/>
                </a:lnTo>
                <a:lnTo>
                  <a:pt x="284" y="123"/>
                </a:lnTo>
                <a:lnTo>
                  <a:pt x="267" y="120"/>
                </a:lnTo>
                <a:lnTo>
                  <a:pt x="269" y="121"/>
                </a:lnTo>
                <a:lnTo>
                  <a:pt x="271" y="122"/>
                </a:lnTo>
                <a:lnTo>
                  <a:pt x="274" y="123"/>
                </a:lnTo>
                <a:lnTo>
                  <a:pt x="276" y="124"/>
                </a:lnTo>
                <a:lnTo>
                  <a:pt x="280" y="127"/>
                </a:lnTo>
                <a:lnTo>
                  <a:pt x="286" y="129"/>
                </a:lnTo>
                <a:lnTo>
                  <a:pt x="291" y="133"/>
                </a:lnTo>
                <a:lnTo>
                  <a:pt x="296" y="139"/>
                </a:lnTo>
                <a:lnTo>
                  <a:pt x="300" y="145"/>
                </a:lnTo>
                <a:lnTo>
                  <a:pt x="302" y="148"/>
                </a:lnTo>
                <a:lnTo>
                  <a:pt x="304" y="152"/>
                </a:lnTo>
                <a:lnTo>
                  <a:pt x="305" y="156"/>
                </a:lnTo>
                <a:lnTo>
                  <a:pt x="306" y="161"/>
                </a:lnTo>
                <a:lnTo>
                  <a:pt x="306" y="165"/>
                </a:lnTo>
                <a:lnTo>
                  <a:pt x="306" y="170"/>
                </a:lnTo>
                <a:lnTo>
                  <a:pt x="306" y="178"/>
                </a:lnTo>
                <a:lnTo>
                  <a:pt x="305" y="189"/>
                </a:lnTo>
                <a:lnTo>
                  <a:pt x="303" y="197"/>
                </a:lnTo>
                <a:lnTo>
                  <a:pt x="300" y="202"/>
                </a:lnTo>
                <a:lnTo>
                  <a:pt x="296" y="206"/>
                </a:lnTo>
                <a:lnTo>
                  <a:pt x="291" y="211"/>
                </a:lnTo>
                <a:lnTo>
                  <a:pt x="279" y="216"/>
                </a:lnTo>
                <a:lnTo>
                  <a:pt x="267" y="219"/>
                </a:lnTo>
                <a:lnTo>
                  <a:pt x="263" y="190"/>
                </a:lnTo>
                <a:lnTo>
                  <a:pt x="258" y="164"/>
                </a:lnTo>
                <a:lnTo>
                  <a:pt x="251" y="140"/>
                </a:lnTo>
                <a:lnTo>
                  <a:pt x="245" y="164"/>
                </a:lnTo>
                <a:lnTo>
                  <a:pt x="240" y="192"/>
                </a:lnTo>
                <a:lnTo>
                  <a:pt x="236" y="221"/>
                </a:lnTo>
                <a:lnTo>
                  <a:pt x="229" y="221"/>
                </a:lnTo>
                <a:lnTo>
                  <a:pt x="216" y="219"/>
                </a:lnTo>
                <a:lnTo>
                  <a:pt x="203" y="214"/>
                </a:lnTo>
                <a:lnTo>
                  <a:pt x="193" y="206"/>
                </a:lnTo>
                <a:lnTo>
                  <a:pt x="185" y="195"/>
                </a:lnTo>
                <a:lnTo>
                  <a:pt x="178" y="181"/>
                </a:lnTo>
                <a:lnTo>
                  <a:pt x="174" y="167"/>
                </a:lnTo>
                <a:lnTo>
                  <a:pt x="165" y="138"/>
                </a:lnTo>
                <a:lnTo>
                  <a:pt x="164" y="140"/>
                </a:lnTo>
                <a:lnTo>
                  <a:pt x="161" y="146"/>
                </a:lnTo>
                <a:lnTo>
                  <a:pt x="157" y="152"/>
                </a:lnTo>
                <a:lnTo>
                  <a:pt x="152" y="157"/>
                </a:lnTo>
                <a:lnTo>
                  <a:pt x="146" y="161"/>
                </a:lnTo>
                <a:lnTo>
                  <a:pt x="144" y="159"/>
                </a:lnTo>
                <a:lnTo>
                  <a:pt x="142" y="157"/>
                </a:lnTo>
                <a:lnTo>
                  <a:pt x="140" y="155"/>
                </a:lnTo>
                <a:lnTo>
                  <a:pt x="139" y="152"/>
                </a:lnTo>
                <a:lnTo>
                  <a:pt x="139" y="149"/>
                </a:lnTo>
                <a:lnTo>
                  <a:pt x="139" y="145"/>
                </a:lnTo>
                <a:lnTo>
                  <a:pt x="139" y="143"/>
                </a:lnTo>
                <a:lnTo>
                  <a:pt x="139" y="140"/>
                </a:lnTo>
                <a:lnTo>
                  <a:pt x="140" y="136"/>
                </a:lnTo>
                <a:lnTo>
                  <a:pt x="140" y="132"/>
                </a:lnTo>
                <a:lnTo>
                  <a:pt x="141" y="129"/>
                </a:lnTo>
                <a:lnTo>
                  <a:pt x="125" y="139"/>
                </a:lnTo>
                <a:lnTo>
                  <a:pt x="109" y="148"/>
                </a:lnTo>
                <a:lnTo>
                  <a:pt x="98" y="154"/>
                </a:lnTo>
                <a:lnTo>
                  <a:pt x="88" y="159"/>
                </a:lnTo>
                <a:lnTo>
                  <a:pt x="76" y="162"/>
                </a:lnTo>
                <a:lnTo>
                  <a:pt x="75" y="162"/>
                </a:lnTo>
                <a:lnTo>
                  <a:pt x="63" y="159"/>
                </a:lnTo>
                <a:lnTo>
                  <a:pt x="50" y="152"/>
                </a:lnTo>
                <a:lnTo>
                  <a:pt x="37" y="142"/>
                </a:lnTo>
                <a:lnTo>
                  <a:pt x="23" y="128"/>
                </a:lnTo>
                <a:lnTo>
                  <a:pt x="11" y="113"/>
                </a:lnTo>
                <a:lnTo>
                  <a:pt x="2" y="97"/>
                </a:lnTo>
                <a:lnTo>
                  <a:pt x="0" y="86"/>
                </a:lnTo>
                <a:lnTo>
                  <a:pt x="2" y="75"/>
                </a:lnTo>
                <a:lnTo>
                  <a:pt x="8" y="65"/>
                </a:lnTo>
                <a:lnTo>
                  <a:pt x="16" y="55"/>
                </a:lnTo>
                <a:lnTo>
                  <a:pt x="21" y="50"/>
                </a:lnTo>
                <a:lnTo>
                  <a:pt x="27" y="46"/>
                </a:lnTo>
                <a:lnTo>
                  <a:pt x="40" y="40"/>
                </a:lnTo>
                <a:lnTo>
                  <a:pt x="51" y="38"/>
                </a:lnTo>
                <a:lnTo>
                  <a:pt x="57" y="39"/>
                </a:lnTo>
                <a:lnTo>
                  <a:pt x="65" y="41"/>
                </a:lnTo>
                <a:lnTo>
                  <a:pt x="75" y="43"/>
                </a:lnTo>
                <a:lnTo>
                  <a:pt x="74" y="43"/>
                </a:lnTo>
                <a:lnTo>
                  <a:pt x="72" y="41"/>
                </a:lnTo>
                <a:lnTo>
                  <a:pt x="70" y="40"/>
                </a:lnTo>
                <a:lnTo>
                  <a:pt x="68" y="38"/>
                </a:lnTo>
                <a:lnTo>
                  <a:pt x="65" y="36"/>
                </a:lnTo>
                <a:lnTo>
                  <a:pt x="63" y="33"/>
                </a:lnTo>
                <a:lnTo>
                  <a:pt x="61" y="31"/>
                </a:lnTo>
                <a:lnTo>
                  <a:pt x="51" y="23"/>
                </a:lnTo>
                <a:lnTo>
                  <a:pt x="44" y="13"/>
                </a:lnTo>
                <a:lnTo>
                  <a:pt x="41" y="0"/>
                </a:lnTo>
                <a:close/>
              </a:path>
            </a:pathLst>
          </a:custGeom>
          <a:solidFill>
            <a:schemeClr val="accent2"/>
          </a:solidFill>
          <a:ln w="0">
            <a:solidFill>
              <a:schemeClr val="accent2"/>
            </a:solidFill>
            <a:prstDash val="solid"/>
            <a:round/>
            <a:headEnd/>
            <a:tailEnd/>
          </a:ln>
        </xdr:spPr>
      </xdr:sp>
      <xdr:sp macro="" textlink="">
        <xdr:nvSpPr>
          <xdr:cNvPr id="62" name="Freeform 110"/>
          <xdr:cNvSpPr>
            <a:spLocks/>
          </xdr:cNvSpPr>
        </xdr:nvSpPr>
        <xdr:spPr bwMode="auto">
          <a:xfrm>
            <a:off x="423" y="65"/>
            <a:ext cx="111" cy="67"/>
          </a:xfrm>
          <a:custGeom>
            <a:avLst/>
            <a:gdLst>
              <a:gd name="T0" fmla="*/ 391 w 554"/>
              <a:gd name="T1" fmla="*/ 32 h 337"/>
              <a:gd name="T2" fmla="*/ 372 w 554"/>
              <a:gd name="T3" fmla="*/ 106 h 337"/>
              <a:gd name="T4" fmla="*/ 346 w 554"/>
              <a:gd name="T5" fmla="*/ 173 h 337"/>
              <a:gd name="T6" fmla="*/ 373 w 554"/>
              <a:gd name="T7" fmla="*/ 156 h 337"/>
              <a:gd name="T8" fmla="*/ 434 w 554"/>
              <a:gd name="T9" fmla="*/ 102 h 337"/>
              <a:gd name="T10" fmla="*/ 492 w 554"/>
              <a:gd name="T11" fmla="*/ 63 h 337"/>
              <a:gd name="T12" fmla="*/ 455 w 554"/>
              <a:gd name="T13" fmla="*/ 121 h 337"/>
              <a:gd name="T14" fmla="*/ 400 w 554"/>
              <a:gd name="T15" fmla="*/ 183 h 337"/>
              <a:gd name="T16" fmla="*/ 408 w 554"/>
              <a:gd name="T17" fmla="*/ 195 h 337"/>
              <a:gd name="T18" fmla="*/ 486 w 554"/>
              <a:gd name="T19" fmla="*/ 167 h 337"/>
              <a:gd name="T20" fmla="*/ 554 w 554"/>
              <a:gd name="T21" fmla="*/ 154 h 337"/>
              <a:gd name="T22" fmla="*/ 497 w 554"/>
              <a:gd name="T23" fmla="*/ 193 h 337"/>
              <a:gd name="T24" fmla="*/ 424 w 554"/>
              <a:gd name="T25" fmla="*/ 230 h 337"/>
              <a:gd name="T26" fmla="*/ 368 w 554"/>
              <a:gd name="T27" fmla="*/ 251 h 337"/>
              <a:gd name="T28" fmla="*/ 427 w 554"/>
              <a:gd name="T29" fmla="*/ 248 h 337"/>
              <a:gd name="T30" fmla="*/ 501 w 554"/>
              <a:gd name="T31" fmla="*/ 253 h 337"/>
              <a:gd name="T32" fmla="*/ 539 w 554"/>
              <a:gd name="T33" fmla="*/ 266 h 337"/>
              <a:gd name="T34" fmla="*/ 510 w 554"/>
              <a:gd name="T35" fmla="*/ 281 h 337"/>
              <a:gd name="T36" fmla="*/ 427 w 554"/>
              <a:gd name="T37" fmla="*/ 286 h 337"/>
              <a:gd name="T38" fmla="*/ 424 w 554"/>
              <a:gd name="T39" fmla="*/ 301 h 337"/>
              <a:gd name="T40" fmla="*/ 501 w 554"/>
              <a:gd name="T41" fmla="*/ 337 h 337"/>
              <a:gd name="T42" fmla="*/ 410 w 554"/>
              <a:gd name="T43" fmla="*/ 336 h 337"/>
              <a:gd name="T44" fmla="*/ 357 w 554"/>
              <a:gd name="T45" fmla="*/ 313 h 337"/>
              <a:gd name="T46" fmla="*/ 242 w 554"/>
              <a:gd name="T47" fmla="*/ 337 h 337"/>
              <a:gd name="T48" fmla="*/ 242 w 554"/>
              <a:gd name="T49" fmla="*/ 337 h 337"/>
              <a:gd name="T50" fmla="*/ 212 w 554"/>
              <a:gd name="T51" fmla="*/ 319 h 337"/>
              <a:gd name="T52" fmla="*/ 87 w 554"/>
              <a:gd name="T53" fmla="*/ 337 h 337"/>
              <a:gd name="T54" fmla="*/ 153 w 554"/>
              <a:gd name="T55" fmla="*/ 305 h 337"/>
              <a:gd name="T56" fmla="*/ 208 w 554"/>
              <a:gd name="T57" fmla="*/ 284 h 337"/>
              <a:gd name="T58" fmla="*/ 150 w 554"/>
              <a:gd name="T59" fmla="*/ 286 h 337"/>
              <a:gd name="T60" fmla="*/ 68 w 554"/>
              <a:gd name="T61" fmla="*/ 282 h 337"/>
              <a:gd name="T62" fmla="*/ 0 w 554"/>
              <a:gd name="T63" fmla="*/ 267 h 337"/>
              <a:gd name="T64" fmla="*/ 68 w 554"/>
              <a:gd name="T65" fmla="*/ 254 h 337"/>
              <a:gd name="T66" fmla="*/ 150 w 554"/>
              <a:gd name="T67" fmla="*/ 248 h 337"/>
              <a:gd name="T68" fmla="*/ 153 w 554"/>
              <a:gd name="T69" fmla="*/ 234 h 337"/>
              <a:gd name="T70" fmla="*/ 77 w 554"/>
              <a:gd name="T71" fmla="*/ 197 h 337"/>
              <a:gd name="T72" fmla="*/ 48 w 554"/>
              <a:gd name="T73" fmla="*/ 171 h 337"/>
              <a:gd name="T74" fmla="*/ 86 w 554"/>
              <a:gd name="T75" fmla="*/ 172 h 337"/>
              <a:gd name="T76" fmla="*/ 166 w 554"/>
              <a:gd name="T77" fmla="*/ 198 h 337"/>
              <a:gd name="T78" fmla="*/ 220 w 554"/>
              <a:gd name="T79" fmla="*/ 222 h 337"/>
              <a:gd name="T80" fmla="*/ 148 w 554"/>
              <a:gd name="T81" fmla="*/ 152 h 337"/>
              <a:gd name="T82" fmla="*/ 101 w 554"/>
              <a:gd name="T83" fmla="*/ 91 h 337"/>
              <a:gd name="T84" fmla="*/ 112 w 554"/>
              <a:gd name="T85" fmla="*/ 80 h 337"/>
              <a:gd name="T86" fmla="*/ 173 w 554"/>
              <a:gd name="T87" fmla="*/ 127 h 337"/>
              <a:gd name="T88" fmla="*/ 236 w 554"/>
              <a:gd name="T89" fmla="*/ 191 h 337"/>
              <a:gd name="T90" fmla="*/ 201 w 554"/>
              <a:gd name="T91" fmla="*/ 108 h 337"/>
              <a:gd name="T92" fmla="*/ 179 w 554"/>
              <a:gd name="T93" fmla="*/ 34 h 337"/>
              <a:gd name="T94" fmla="*/ 195 w 554"/>
              <a:gd name="T95" fmla="*/ 28 h 337"/>
              <a:gd name="T96" fmla="*/ 233 w 554"/>
              <a:gd name="T97" fmla="*/ 94 h 337"/>
              <a:gd name="T98" fmla="*/ 262 w 554"/>
              <a:gd name="T99" fmla="*/ 160 h 337"/>
              <a:gd name="T100" fmla="*/ 270 w 554"/>
              <a:gd name="T101" fmla="*/ 158 h 337"/>
              <a:gd name="T102" fmla="*/ 271 w 554"/>
              <a:gd name="T103" fmla="*/ 93 h 337"/>
              <a:gd name="T104" fmla="*/ 279 w 554"/>
              <a:gd name="T105" fmla="*/ 60 h 337"/>
              <a:gd name="T106" fmla="*/ 306 w 554"/>
              <a:gd name="T107" fmla="*/ 92 h 337"/>
              <a:gd name="T108" fmla="*/ 306 w 554"/>
              <a:gd name="T109" fmla="*/ 177 h 337"/>
              <a:gd name="T110" fmla="*/ 339 w 554"/>
              <a:gd name="T111" fmla="*/ 92 h 337"/>
              <a:gd name="T112" fmla="*/ 376 w 554"/>
              <a:gd name="T113" fmla="*/ 26 h 3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554" h="337">
                <a:moveTo>
                  <a:pt x="396" y="0"/>
                </a:moveTo>
                <a:lnTo>
                  <a:pt x="391" y="32"/>
                </a:lnTo>
                <a:lnTo>
                  <a:pt x="383" y="67"/>
                </a:lnTo>
                <a:lnTo>
                  <a:pt x="372" y="106"/>
                </a:lnTo>
                <a:lnTo>
                  <a:pt x="357" y="145"/>
                </a:lnTo>
                <a:lnTo>
                  <a:pt x="346" y="173"/>
                </a:lnTo>
                <a:lnTo>
                  <a:pt x="333" y="198"/>
                </a:lnTo>
                <a:lnTo>
                  <a:pt x="373" y="156"/>
                </a:lnTo>
                <a:lnTo>
                  <a:pt x="404" y="127"/>
                </a:lnTo>
                <a:lnTo>
                  <a:pt x="434" y="102"/>
                </a:lnTo>
                <a:lnTo>
                  <a:pt x="464" y="80"/>
                </a:lnTo>
                <a:lnTo>
                  <a:pt x="492" y="63"/>
                </a:lnTo>
                <a:lnTo>
                  <a:pt x="476" y="91"/>
                </a:lnTo>
                <a:lnTo>
                  <a:pt x="455" y="121"/>
                </a:lnTo>
                <a:lnTo>
                  <a:pt x="429" y="152"/>
                </a:lnTo>
                <a:lnTo>
                  <a:pt x="400" y="183"/>
                </a:lnTo>
                <a:lnTo>
                  <a:pt x="364" y="216"/>
                </a:lnTo>
                <a:lnTo>
                  <a:pt x="408" y="195"/>
                </a:lnTo>
                <a:lnTo>
                  <a:pt x="448" y="180"/>
                </a:lnTo>
                <a:lnTo>
                  <a:pt x="486" y="167"/>
                </a:lnTo>
                <a:lnTo>
                  <a:pt x="522" y="159"/>
                </a:lnTo>
                <a:lnTo>
                  <a:pt x="554" y="154"/>
                </a:lnTo>
                <a:lnTo>
                  <a:pt x="528" y="173"/>
                </a:lnTo>
                <a:lnTo>
                  <a:pt x="497" y="193"/>
                </a:lnTo>
                <a:lnTo>
                  <a:pt x="462" y="212"/>
                </a:lnTo>
                <a:lnTo>
                  <a:pt x="424" y="230"/>
                </a:lnTo>
                <a:lnTo>
                  <a:pt x="396" y="241"/>
                </a:lnTo>
                <a:lnTo>
                  <a:pt x="368" y="251"/>
                </a:lnTo>
                <a:lnTo>
                  <a:pt x="398" y="248"/>
                </a:lnTo>
                <a:lnTo>
                  <a:pt x="427" y="248"/>
                </a:lnTo>
                <a:lnTo>
                  <a:pt x="464" y="250"/>
                </a:lnTo>
                <a:lnTo>
                  <a:pt x="501" y="253"/>
                </a:lnTo>
                <a:lnTo>
                  <a:pt x="533" y="257"/>
                </a:lnTo>
                <a:lnTo>
                  <a:pt x="539" y="266"/>
                </a:lnTo>
                <a:lnTo>
                  <a:pt x="548" y="275"/>
                </a:lnTo>
                <a:lnTo>
                  <a:pt x="510" y="281"/>
                </a:lnTo>
                <a:lnTo>
                  <a:pt x="470" y="285"/>
                </a:lnTo>
                <a:lnTo>
                  <a:pt x="427" y="286"/>
                </a:lnTo>
                <a:lnTo>
                  <a:pt x="379" y="285"/>
                </a:lnTo>
                <a:lnTo>
                  <a:pt x="424" y="301"/>
                </a:lnTo>
                <a:lnTo>
                  <a:pt x="464" y="318"/>
                </a:lnTo>
                <a:lnTo>
                  <a:pt x="501" y="337"/>
                </a:lnTo>
                <a:lnTo>
                  <a:pt x="412" y="337"/>
                </a:lnTo>
                <a:lnTo>
                  <a:pt x="410" y="336"/>
                </a:lnTo>
                <a:lnTo>
                  <a:pt x="383" y="325"/>
                </a:lnTo>
                <a:lnTo>
                  <a:pt x="357" y="313"/>
                </a:lnTo>
                <a:lnTo>
                  <a:pt x="385" y="337"/>
                </a:lnTo>
                <a:lnTo>
                  <a:pt x="242" y="337"/>
                </a:lnTo>
                <a:lnTo>
                  <a:pt x="244" y="336"/>
                </a:lnTo>
                <a:lnTo>
                  <a:pt x="242" y="337"/>
                </a:lnTo>
                <a:lnTo>
                  <a:pt x="191" y="337"/>
                </a:lnTo>
                <a:lnTo>
                  <a:pt x="212" y="319"/>
                </a:lnTo>
                <a:lnTo>
                  <a:pt x="174" y="337"/>
                </a:lnTo>
                <a:lnTo>
                  <a:pt x="87" y="337"/>
                </a:lnTo>
                <a:lnTo>
                  <a:pt x="120" y="320"/>
                </a:lnTo>
                <a:lnTo>
                  <a:pt x="153" y="305"/>
                </a:lnTo>
                <a:lnTo>
                  <a:pt x="181" y="293"/>
                </a:lnTo>
                <a:lnTo>
                  <a:pt x="208" y="284"/>
                </a:lnTo>
                <a:lnTo>
                  <a:pt x="179" y="286"/>
                </a:lnTo>
                <a:lnTo>
                  <a:pt x="150" y="286"/>
                </a:lnTo>
                <a:lnTo>
                  <a:pt x="107" y="285"/>
                </a:lnTo>
                <a:lnTo>
                  <a:pt x="68" y="282"/>
                </a:lnTo>
                <a:lnTo>
                  <a:pt x="31" y="276"/>
                </a:lnTo>
                <a:lnTo>
                  <a:pt x="0" y="267"/>
                </a:lnTo>
                <a:lnTo>
                  <a:pt x="31" y="259"/>
                </a:lnTo>
                <a:lnTo>
                  <a:pt x="68" y="254"/>
                </a:lnTo>
                <a:lnTo>
                  <a:pt x="107" y="250"/>
                </a:lnTo>
                <a:lnTo>
                  <a:pt x="150" y="248"/>
                </a:lnTo>
                <a:lnTo>
                  <a:pt x="198" y="250"/>
                </a:lnTo>
                <a:lnTo>
                  <a:pt x="153" y="234"/>
                </a:lnTo>
                <a:lnTo>
                  <a:pt x="112" y="216"/>
                </a:lnTo>
                <a:lnTo>
                  <a:pt x="77" y="197"/>
                </a:lnTo>
                <a:lnTo>
                  <a:pt x="46" y="179"/>
                </a:lnTo>
                <a:lnTo>
                  <a:pt x="48" y="171"/>
                </a:lnTo>
                <a:lnTo>
                  <a:pt x="50" y="164"/>
                </a:lnTo>
                <a:lnTo>
                  <a:pt x="86" y="172"/>
                </a:lnTo>
                <a:lnTo>
                  <a:pt x="126" y="183"/>
                </a:lnTo>
                <a:lnTo>
                  <a:pt x="166" y="198"/>
                </a:lnTo>
                <a:lnTo>
                  <a:pt x="194" y="210"/>
                </a:lnTo>
                <a:lnTo>
                  <a:pt x="220" y="222"/>
                </a:lnTo>
                <a:lnTo>
                  <a:pt x="177" y="183"/>
                </a:lnTo>
                <a:lnTo>
                  <a:pt x="148" y="152"/>
                </a:lnTo>
                <a:lnTo>
                  <a:pt x="122" y="121"/>
                </a:lnTo>
                <a:lnTo>
                  <a:pt x="101" y="91"/>
                </a:lnTo>
                <a:lnTo>
                  <a:pt x="84" y="63"/>
                </a:lnTo>
                <a:lnTo>
                  <a:pt x="112" y="80"/>
                </a:lnTo>
                <a:lnTo>
                  <a:pt x="143" y="102"/>
                </a:lnTo>
                <a:lnTo>
                  <a:pt x="173" y="127"/>
                </a:lnTo>
                <a:lnTo>
                  <a:pt x="204" y="156"/>
                </a:lnTo>
                <a:lnTo>
                  <a:pt x="236" y="191"/>
                </a:lnTo>
                <a:lnTo>
                  <a:pt x="216" y="147"/>
                </a:lnTo>
                <a:lnTo>
                  <a:pt x="201" y="108"/>
                </a:lnTo>
                <a:lnTo>
                  <a:pt x="188" y="70"/>
                </a:lnTo>
                <a:lnTo>
                  <a:pt x="179" y="34"/>
                </a:lnTo>
                <a:lnTo>
                  <a:pt x="175" y="2"/>
                </a:lnTo>
                <a:lnTo>
                  <a:pt x="195" y="28"/>
                </a:lnTo>
                <a:lnTo>
                  <a:pt x="214" y="59"/>
                </a:lnTo>
                <a:lnTo>
                  <a:pt x="233" y="94"/>
                </a:lnTo>
                <a:lnTo>
                  <a:pt x="251" y="133"/>
                </a:lnTo>
                <a:lnTo>
                  <a:pt x="262" y="160"/>
                </a:lnTo>
                <a:lnTo>
                  <a:pt x="272" y="187"/>
                </a:lnTo>
                <a:lnTo>
                  <a:pt x="270" y="158"/>
                </a:lnTo>
                <a:lnTo>
                  <a:pt x="270" y="129"/>
                </a:lnTo>
                <a:lnTo>
                  <a:pt x="271" y="93"/>
                </a:lnTo>
                <a:lnTo>
                  <a:pt x="273" y="60"/>
                </a:lnTo>
                <a:lnTo>
                  <a:pt x="279" y="60"/>
                </a:lnTo>
                <a:lnTo>
                  <a:pt x="304" y="58"/>
                </a:lnTo>
                <a:lnTo>
                  <a:pt x="306" y="92"/>
                </a:lnTo>
                <a:lnTo>
                  <a:pt x="307" y="129"/>
                </a:lnTo>
                <a:lnTo>
                  <a:pt x="306" y="177"/>
                </a:lnTo>
                <a:lnTo>
                  <a:pt x="322" y="132"/>
                </a:lnTo>
                <a:lnTo>
                  <a:pt x="339" y="92"/>
                </a:lnTo>
                <a:lnTo>
                  <a:pt x="357" y="57"/>
                </a:lnTo>
                <a:lnTo>
                  <a:pt x="376" y="26"/>
                </a:lnTo>
                <a:lnTo>
                  <a:pt x="396" y="0"/>
                </a:lnTo>
                <a:close/>
              </a:path>
            </a:pathLst>
          </a:custGeom>
          <a:solidFill>
            <a:schemeClr val="accent1"/>
          </a:solidFill>
          <a:ln w="0">
            <a:solidFill>
              <a:schemeClr val="accent1"/>
            </a:solidFill>
            <a:prstDash val="solid"/>
            <a:round/>
            <a:headEnd/>
            <a:tailEnd/>
          </a:ln>
        </xdr:spPr>
      </xdr:sp>
      <xdr:sp macro="" textlink="">
        <xdr:nvSpPr>
          <xdr:cNvPr id="63" name="Freeform 111"/>
          <xdr:cNvSpPr>
            <a:spLocks/>
          </xdr:cNvSpPr>
        </xdr:nvSpPr>
        <xdr:spPr bwMode="auto">
          <a:xfrm>
            <a:off x="530" y="116"/>
            <a:ext cx="9" cy="4"/>
          </a:xfrm>
          <a:custGeom>
            <a:avLst/>
            <a:gdLst>
              <a:gd name="T0" fmla="*/ 0 w 44"/>
              <a:gd name="T1" fmla="*/ 0 h 18"/>
              <a:gd name="T2" fmla="*/ 23 w 44"/>
              <a:gd name="T3" fmla="*/ 5 h 18"/>
              <a:gd name="T4" fmla="*/ 44 w 44"/>
              <a:gd name="T5" fmla="*/ 10 h 18"/>
              <a:gd name="T6" fmla="*/ 15 w 44"/>
              <a:gd name="T7" fmla="*/ 18 h 18"/>
              <a:gd name="T8" fmla="*/ 6 w 44"/>
              <a:gd name="T9" fmla="*/ 9 h 18"/>
              <a:gd name="T10" fmla="*/ 0 w 44"/>
              <a:gd name="T11" fmla="*/ 0 h 18"/>
            </a:gdLst>
            <a:ahLst/>
            <a:cxnLst>
              <a:cxn ang="0">
                <a:pos x="T0" y="T1"/>
              </a:cxn>
              <a:cxn ang="0">
                <a:pos x="T2" y="T3"/>
              </a:cxn>
              <a:cxn ang="0">
                <a:pos x="T4" y="T5"/>
              </a:cxn>
              <a:cxn ang="0">
                <a:pos x="T6" y="T7"/>
              </a:cxn>
              <a:cxn ang="0">
                <a:pos x="T8" y="T9"/>
              </a:cxn>
              <a:cxn ang="0">
                <a:pos x="T10" y="T11"/>
              </a:cxn>
            </a:cxnLst>
            <a:rect l="0" t="0" r="r" b="b"/>
            <a:pathLst>
              <a:path w="44" h="18">
                <a:moveTo>
                  <a:pt x="0" y="0"/>
                </a:moveTo>
                <a:lnTo>
                  <a:pt x="23" y="5"/>
                </a:lnTo>
                <a:lnTo>
                  <a:pt x="44" y="10"/>
                </a:lnTo>
                <a:lnTo>
                  <a:pt x="15" y="18"/>
                </a:lnTo>
                <a:lnTo>
                  <a:pt x="6" y="9"/>
                </a:lnTo>
                <a:lnTo>
                  <a:pt x="0" y="0"/>
                </a:lnTo>
                <a:close/>
              </a:path>
            </a:pathLst>
          </a:custGeom>
          <a:solidFill>
            <a:schemeClr val="accent4">
              <a:lumMod val="75000"/>
            </a:schemeClr>
          </a:solidFill>
          <a:ln w="0">
            <a:solidFill>
              <a:schemeClr val="accent4">
                <a:lumMod val="75000"/>
              </a:schemeClr>
            </a:solidFill>
            <a:prstDash val="solid"/>
            <a:round/>
            <a:headEnd/>
            <a:tailEnd/>
          </a:ln>
        </xdr:spPr>
      </xdr:sp>
      <xdr:sp macro="" textlink="">
        <xdr:nvSpPr>
          <xdr:cNvPr id="64" name="Freeform 112"/>
          <xdr:cNvSpPr>
            <a:spLocks/>
          </xdr:cNvSpPr>
        </xdr:nvSpPr>
        <xdr:spPr bwMode="auto">
          <a:xfrm>
            <a:off x="478" y="60"/>
            <a:ext cx="6" cy="17"/>
          </a:xfrm>
          <a:custGeom>
            <a:avLst/>
            <a:gdLst>
              <a:gd name="T0" fmla="*/ 15 w 31"/>
              <a:gd name="T1" fmla="*/ 0 h 81"/>
              <a:gd name="T2" fmla="*/ 22 w 31"/>
              <a:gd name="T3" fmla="*/ 24 h 81"/>
              <a:gd name="T4" fmla="*/ 27 w 31"/>
              <a:gd name="T5" fmla="*/ 50 h 81"/>
              <a:gd name="T6" fmla="*/ 31 w 31"/>
              <a:gd name="T7" fmla="*/ 79 h 81"/>
              <a:gd name="T8" fmla="*/ 15 w 31"/>
              <a:gd name="T9" fmla="*/ 81 h 81"/>
              <a:gd name="T10" fmla="*/ 0 w 31"/>
              <a:gd name="T11" fmla="*/ 81 h 81"/>
              <a:gd name="T12" fmla="*/ 4 w 31"/>
              <a:gd name="T13" fmla="*/ 52 h 81"/>
              <a:gd name="T14" fmla="*/ 9 w 31"/>
              <a:gd name="T15" fmla="*/ 24 h 81"/>
              <a:gd name="T16" fmla="*/ 15 w 31"/>
              <a:gd name="T17" fmla="*/ 0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1" h="81">
                <a:moveTo>
                  <a:pt x="15" y="0"/>
                </a:moveTo>
                <a:lnTo>
                  <a:pt x="22" y="24"/>
                </a:lnTo>
                <a:lnTo>
                  <a:pt x="27" y="50"/>
                </a:lnTo>
                <a:lnTo>
                  <a:pt x="31" y="79"/>
                </a:lnTo>
                <a:lnTo>
                  <a:pt x="15" y="81"/>
                </a:lnTo>
                <a:lnTo>
                  <a:pt x="0" y="81"/>
                </a:lnTo>
                <a:lnTo>
                  <a:pt x="4" y="52"/>
                </a:lnTo>
                <a:lnTo>
                  <a:pt x="9" y="24"/>
                </a:lnTo>
                <a:lnTo>
                  <a:pt x="15" y="0"/>
                </a:lnTo>
                <a:close/>
              </a:path>
            </a:pathLst>
          </a:custGeom>
          <a:solidFill>
            <a:schemeClr val="accent2">
              <a:lumMod val="75000"/>
            </a:schemeClr>
          </a:solidFill>
          <a:ln w="0">
            <a:solidFill>
              <a:schemeClr val="accent2">
                <a:lumMod val="75000"/>
              </a:schemeClr>
            </a:solidFill>
            <a:prstDash val="solid"/>
            <a:round/>
            <a:headEnd/>
            <a:tailEnd/>
          </a:ln>
        </xdr:spPr>
      </xdr:sp>
      <xdr:sp macro="" textlink="">
        <xdr:nvSpPr>
          <xdr:cNvPr id="65" name="Freeform 113"/>
          <xdr:cNvSpPr>
            <a:spLocks/>
          </xdr:cNvSpPr>
        </xdr:nvSpPr>
        <xdr:spPr bwMode="auto">
          <a:xfrm>
            <a:off x="363" y="91"/>
            <a:ext cx="71" cy="41"/>
          </a:xfrm>
          <a:custGeom>
            <a:avLst/>
            <a:gdLst>
              <a:gd name="T0" fmla="*/ 26 w 355"/>
              <a:gd name="T1" fmla="*/ 21 h 206"/>
              <a:gd name="T2" fmla="*/ 73 w 355"/>
              <a:gd name="T3" fmla="*/ 35 h 206"/>
              <a:gd name="T4" fmla="*/ 133 w 355"/>
              <a:gd name="T5" fmla="*/ 59 h 206"/>
              <a:gd name="T6" fmla="*/ 172 w 355"/>
              <a:gd name="T7" fmla="*/ 112 h 206"/>
              <a:gd name="T8" fmla="*/ 188 w 355"/>
              <a:gd name="T9" fmla="*/ 103 h 206"/>
              <a:gd name="T10" fmla="*/ 225 w 355"/>
              <a:gd name="T11" fmla="*/ 57 h 206"/>
              <a:gd name="T12" fmla="*/ 282 w 355"/>
              <a:gd name="T13" fmla="*/ 35 h 206"/>
              <a:gd name="T14" fmla="*/ 329 w 355"/>
              <a:gd name="T15" fmla="*/ 21 h 206"/>
              <a:gd name="T16" fmla="*/ 353 w 355"/>
              <a:gd name="T17" fmla="*/ 7 h 206"/>
              <a:gd name="T18" fmla="*/ 322 w 355"/>
              <a:gd name="T19" fmla="*/ 29 h 206"/>
              <a:gd name="T20" fmla="*/ 334 w 355"/>
              <a:gd name="T21" fmla="*/ 69 h 206"/>
              <a:gd name="T22" fmla="*/ 292 w 355"/>
              <a:gd name="T23" fmla="*/ 99 h 206"/>
              <a:gd name="T24" fmla="*/ 246 w 355"/>
              <a:gd name="T25" fmla="*/ 105 h 206"/>
              <a:gd name="T26" fmla="*/ 202 w 355"/>
              <a:gd name="T27" fmla="*/ 113 h 206"/>
              <a:gd name="T28" fmla="*/ 188 w 355"/>
              <a:gd name="T29" fmla="*/ 125 h 206"/>
              <a:gd name="T30" fmla="*/ 196 w 355"/>
              <a:gd name="T31" fmla="*/ 151 h 206"/>
              <a:gd name="T32" fmla="*/ 233 w 355"/>
              <a:gd name="T33" fmla="*/ 135 h 206"/>
              <a:gd name="T34" fmla="*/ 272 w 355"/>
              <a:gd name="T35" fmla="*/ 141 h 206"/>
              <a:gd name="T36" fmla="*/ 322 w 355"/>
              <a:gd name="T37" fmla="*/ 163 h 206"/>
              <a:gd name="T38" fmla="*/ 347 w 355"/>
              <a:gd name="T39" fmla="*/ 162 h 206"/>
              <a:gd name="T40" fmla="*/ 345 w 355"/>
              <a:gd name="T41" fmla="*/ 185 h 206"/>
              <a:gd name="T42" fmla="*/ 326 w 355"/>
              <a:gd name="T43" fmla="*/ 203 h 206"/>
              <a:gd name="T44" fmla="*/ 248 w 355"/>
              <a:gd name="T45" fmla="*/ 199 h 206"/>
              <a:gd name="T46" fmla="*/ 215 w 355"/>
              <a:gd name="T47" fmla="*/ 180 h 206"/>
              <a:gd name="T48" fmla="*/ 194 w 355"/>
              <a:gd name="T49" fmla="*/ 180 h 206"/>
              <a:gd name="T50" fmla="*/ 187 w 355"/>
              <a:gd name="T51" fmla="*/ 184 h 206"/>
              <a:gd name="T52" fmla="*/ 172 w 355"/>
              <a:gd name="T53" fmla="*/ 190 h 206"/>
              <a:gd name="T54" fmla="*/ 167 w 355"/>
              <a:gd name="T55" fmla="*/ 184 h 206"/>
              <a:gd name="T56" fmla="*/ 156 w 355"/>
              <a:gd name="T57" fmla="*/ 178 h 206"/>
              <a:gd name="T58" fmla="*/ 129 w 355"/>
              <a:gd name="T59" fmla="*/ 183 h 206"/>
              <a:gd name="T60" fmla="*/ 97 w 355"/>
              <a:gd name="T61" fmla="*/ 206 h 206"/>
              <a:gd name="T62" fmla="*/ 24 w 355"/>
              <a:gd name="T63" fmla="*/ 199 h 206"/>
              <a:gd name="T64" fmla="*/ 3 w 355"/>
              <a:gd name="T65" fmla="*/ 174 h 206"/>
              <a:gd name="T66" fmla="*/ 18 w 355"/>
              <a:gd name="T67" fmla="*/ 163 h 206"/>
              <a:gd name="T68" fmla="*/ 45 w 355"/>
              <a:gd name="T69" fmla="*/ 160 h 206"/>
              <a:gd name="T70" fmla="*/ 98 w 355"/>
              <a:gd name="T71" fmla="*/ 136 h 206"/>
              <a:gd name="T72" fmla="*/ 129 w 355"/>
              <a:gd name="T73" fmla="*/ 136 h 206"/>
              <a:gd name="T74" fmla="*/ 162 w 355"/>
              <a:gd name="T75" fmla="*/ 155 h 206"/>
              <a:gd name="T76" fmla="*/ 167 w 355"/>
              <a:gd name="T77" fmla="*/ 127 h 206"/>
              <a:gd name="T78" fmla="*/ 139 w 355"/>
              <a:gd name="T79" fmla="*/ 108 h 206"/>
              <a:gd name="T80" fmla="*/ 94 w 355"/>
              <a:gd name="T81" fmla="*/ 104 h 206"/>
              <a:gd name="T82" fmla="*/ 49 w 355"/>
              <a:gd name="T83" fmla="*/ 92 h 206"/>
              <a:gd name="T84" fmla="*/ 9 w 355"/>
              <a:gd name="T85" fmla="*/ 53 h 206"/>
              <a:gd name="T86" fmla="*/ 1 w 355"/>
              <a:gd name="T87" fmla="*/ 14 h 2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355" h="206">
                <a:moveTo>
                  <a:pt x="2" y="0"/>
                </a:moveTo>
                <a:lnTo>
                  <a:pt x="12" y="12"/>
                </a:lnTo>
                <a:lnTo>
                  <a:pt x="26" y="21"/>
                </a:lnTo>
                <a:lnTo>
                  <a:pt x="41" y="27"/>
                </a:lnTo>
                <a:lnTo>
                  <a:pt x="56" y="31"/>
                </a:lnTo>
                <a:lnTo>
                  <a:pt x="73" y="35"/>
                </a:lnTo>
                <a:lnTo>
                  <a:pt x="89" y="39"/>
                </a:lnTo>
                <a:lnTo>
                  <a:pt x="113" y="48"/>
                </a:lnTo>
                <a:lnTo>
                  <a:pt x="133" y="59"/>
                </a:lnTo>
                <a:lnTo>
                  <a:pt x="149" y="75"/>
                </a:lnTo>
                <a:lnTo>
                  <a:pt x="161" y="95"/>
                </a:lnTo>
                <a:lnTo>
                  <a:pt x="172" y="112"/>
                </a:lnTo>
                <a:lnTo>
                  <a:pt x="172" y="12"/>
                </a:lnTo>
                <a:lnTo>
                  <a:pt x="188" y="12"/>
                </a:lnTo>
                <a:lnTo>
                  <a:pt x="188" y="103"/>
                </a:lnTo>
                <a:lnTo>
                  <a:pt x="198" y="87"/>
                </a:lnTo>
                <a:lnTo>
                  <a:pt x="209" y="71"/>
                </a:lnTo>
                <a:lnTo>
                  <a:pt x="225" y="57"/>
                </a:lnTo>
                <a:lnTo>
                  <a:pt x="244" y="47"/>
                </a:lnTo>
                <a:lnTo>
                  <a:pt x="265" y="39"/>
                </a:lnTo>
                <a:lnTo>
                  <a:pt x="282" y="35"/>
                </a:lnTo>
                <a:lnTo>
                  <a:pt x="298" y="31"/>
                </a:lnTo>
                <a:lnTo>
                  <a:pt x="314" y="27"/>
                </a:lnTo>
                <a:lnTo>
                  <a:pt x="329" y="21"/>
                </a:lnTo>
                <a:lnTo>
                  <a:pt x="341" y="12"/>
                </a:lnTo>
                <a:lnTo>
                  <a:pt x="352" y="0"/>
                </a:lnTo>
                <a:lnTo>
                  <a:pt x="353" y="7"/>
                </a:lnTo>
                <a:lnTo>
                  <a:pt x="354" y="14"/>
                </a:lnTo>
                <a:lnTo>
                  <a:pt x="352" y="33"/>
                </a:lnTo>
                <a:lnTo>
                  <a:pt x="322" y="29"/>
                </a:lnTo>
                <a:lnTo>
                  <a:pt x="348" y="48"/>
                </a:lnTo>
                <a:lnTo>
                  <a:pt x="345" y="53"/>
                </a:lnTo>
                <a:lnTo>
                  <a:pt x="334" y="69"/>
                </a:lnTo>
                <a:lnTo>
                  <a:pt x="322" y="82"/>
                </a:lnTo>
                <a:lnTo>
                  <a:pt x="305" y="92"/>
                </a:lnTo>
                <a:lnTo>
                  <a:pt x="292" y="99"/>
                </a:lnTo>
                <a:lnTo>
                  <a:pt x="276" y="103"/>
                </a:lnTo>
                <a:lnTo>
                  <a:pt x="261" y="104"/>
                </a:lnTo>
                <a:lnTo>
                  <a:pt x="246" y="105"/>
                </a:lnTo>
                <a:lnTo>
                  <a:pt x="230" y="106"/>
                </a:lnTo>
                <a:lnTo>
                  <a:pt x="214" y="108"/>
                </a:lnTo>
                <a:lnTo>
                  <a:pt x="202" y="113"/>
                </a:lnTo>
                <a:lnTo>
                  <a:pt x="197" y="116"/>
                </a:lnTo>
                <a:lnTo>
                  <a:pt x="193" y="121"/>
                </a:lnTo>
                <a:lnTo>
                  <a:pt x="188" y="125"/>
                </a:lnTo>
                <a:lnTo>
                  <a:pt x="188" y="127"/>
                </a:lnTo>
                <a:lnTo>
                  <a:pt x="188" y="158"/>
                </a:lnTo>
                <a:lnTo>
                  <a:pt x="196" y="151"/>
                </a:lnTo>
                <a:lnTo>
                  <a:pt x="209" y="142"/>
                </a:lnTo>
                <a:lnTo>
                  <a:pt x="225" y="136"/>
                </a:lnTo>
                <a:lnTo>
                  <a:pt x="233" y="135"/>
                </a:lnTo>
                <a:lnTo>
                  <a:pt x="240" y="135"/>
                </a:lnTo>
                <a:lnTo>
                  <a:pt x="257" y="136"/>
                </a:lnTo>
                <a:lnTo>
                  <a:pt x="272" y="141"/>
                </a:lnTo>
                <a:lnTo>
                  <a:pt x="289" y="150"/>
                </a:lnTo>
                <a:lnTo>
                  <a:pt x="310" y="160"/>
                </a:lnTo>
                <a:lnTo>
                  <a:pt x="322" y="163"/>
                </a:lnTo>
                <a:lnTo>
                  <a:pt x="333" y="164"/>
                </a:lnTo>
                <a:lnTo>
                  <a:pt x="337" y="163"/>
                </a:lnTo>
                <a:lnTo>
                  <a:pt x="347" y="162"/>
                </a:lnTo>
                <a:lnTo>
                  <a:pt x="355" y="159"/>
                </a:lnTo>
                <a:lnTo>
                  <a:pt x="352" y="174"/>
                </a:lnTo>
                <a:lnTo>
                  <a:pt x="345" y="185"/>
                </a:lnTo>
                <a:lnTo>
                  <a:pt x="336" y="195"/>
                </a:lnTo>
                <a:lnTo>
                  <a:pt x="331" y="199"/>
                </a:lnTo>
                <a:lnTo>
                  <a:pt x="326" y="203"/>
                </a:lnTo>
                <a:lnTo>
                  <a:pt x="321" y="206"/>
                </a:lnTo>
                <a:lnTo>
                  <a:pt x="258" y="206"/>
                </a:lnTo>
                <a:lnTo>
                  <a:pt x="248" y="199"/>
                </a:lnTo>
                <a:lnTo>
                  <a:pt x="237" y="191"/>
                </a:lnTo>
                <a:lnTo>
                  <a:pt x="225" y="183"/>
                </a:lnTo>
                <a:lnTo>
                  <a:pt x="215" y="180"/>
                </a:lnTo>
                <a:lnTo>
                  <a:pt x="204" y="178"/>
                </a:lnTo>
                <a:lnTo>
                  <a:pt x="199" y="178"/>
                </a:lnTo>
                <a:lnTo>
                  <a:pt x="194" y="180"/>
                </a:lnTo>
                <a:lnTo>
                  <a:pt x="190" y="181"/>
                </a:lnTo>
                <a:lnTo>
                  <a:pt x="189" y="182"/>
                </a:lnTo>
                <a:lnTo>
                  <a:pt x="187" y="184"/>
                </a:lnTo>
                <a:lnTo>
                  <a:pt x="187" y="206"/>
                </a:lnTo>
                <a:lnTo>
                  <a:pt x="172" y="206"/>
                </a:lnTo>
                <a:lnTo>
                  <a:pt x="172" y="190"/>
                </a:lnTo>
                <a:lnTo>
                  <a:pt x="171" y="189"/>
                </a:lnTo>
                <a:lnTo>
                  <a:pt x="169" y="186"/>
                </a:lnTo>
                <a:lnTo>
                  <a:pt x="167" y="184"/>
                </a:lnTo>
                <a:lnTo>
                  <a:pt x="164" y="182"/>
                </a:lnTo>
                <a:lnTo>
                  <a:pt x="161" y="180"/>
                </a:lnTo>
                <a:lnTo>
                  <a:pt x="156" y="178"/>
                </a:lnTo>
                <a:lnTo>
                  <a:pt x="151" y="178"/>
                </a:lnTo>
                <a:lnTo>
                  <a:pt x="139" y="180"/>
                </a:lnTo>
                <a:lnTo>
                  <a:pt x="129" y="183"/>
                </a:lnTo>
                <a:lnTo>
                  <a:pt x="118" y="191"/>
                </a:lnTo>
                <a:lnTo>
                  <a:pt x="107" y="199"/>
                </a:lnTo>
                <a:lnTo>
                  <a:pt x="97" y="206"/>
                </a:lnTo>
                <a:lnTo>
                  <a:pt x="34" y="206"/>
                </a:lnTo>
                <a:lnTo>
                  <a:pt x="29" y="203"/>
                </a:lnTo>
                <a:lnTo>
                  <a:pt x="24" y="199"/>
                </a:lnTo>
                <a:lnTo>
                  <a:pt x="19" y="195"/>
                </a:lnTo>
                <a:lnTo>
                  <a:pt x="9" y="185"/>
                </a:lnTo>
                <a:lnTo>
                  <a:pt x="3" y="174"/>
                </a:lnTo>
                <a:lnTo>
                  <a:pt x="0" y="159"/>
                </a:lnTo>
                <a:lnTo>
                  <a:pt x="8" y="162"/>
                </a:lnTo>
                <a:lnTo>
                  <a:pt x="18" y="163"/>
                </a:lnTo>
                <a:lnTo>
                  <a:pt x="22" y="164"/>
                </a:lnTo>
                <a:lnTo>
                  <a:pt x="33" y="163"/>
                </a:lnTo>
                <a:lnTo>
                  <a:pt x="45" y="160"/>
                </a:lnTo>
                <a:lnTo>
                  <a:pt x="64" y="150"/>
                </a:lnTo>
                <a:lnTo>
                  <a:pt x="83" y="141"/>
                </a:lnTo>
                <a:lnTo>
                  <a:pt x="98" y="136"/>
                </a:lnTo>
                <a:lnTo>
                  <a:pt x="114" y="135"/>
                </a:lnTo>
                <a:lnTo>
                  <a:pt x="122" y="135"/>
                </a:lnTo>
                <a:lnTo>
                  <a:pt x="129" y="136"/>
                </a:lnTo>
                <a:lnTo>
                  <a:pt x="143" y="141"/>
                </a:lnTo>
                <a:lnTo>
                  <a:pt x="153" y="148"/>
                </a:lnTo>
                <a:lnTo>
                  <a:pt x="162" y="155"/>
                </a:lnTo>
                <a:lnTo>
                  <a:pt x="172" y="162"/>
                </a:lnTo>
                <a:lnTo>
                  <a:pt x="171" y="135"/>
                </a:lnTo>
                <a:lnTo>
                  <a:pt x="167" y="127"/>
                </a:lnTo>
                <a:lnTo>
                  <a:pt x="160" y="120"/>
                </a:lnTo>
                <a:lnTo>
                  <a:pt x="153" y="113"/>
                </a:lnTo>
                <a:lnTo>
                  <a:pt x="139" y="108"/>
                </a:lnTo>
                <a:lnTo>
                  <a:pt x="125" y="106"/>
                </a:lnTo>
                <a:lnTo>
                  <a:pt x="109" y="105"/>
                </a:lnTo>
                <a:lnTo>
                  <a:pt x="94" y="104"/>
                </a:lnTo>
                <a:lnTo>
                  <a:pt x="78" y="103"/>
                </a:lnTo>
                <a:lnTo>
                  <a:pt x="62" y="99"/>
                </a:lnTo>
                <a:lnTo>
                  <a:pt x="49" y="92"/>
                </a:lnTo>
                <a:lnTo>
                  <a:pt x="33" y="82"/>
                </a:lnTo>
                <a:lnTo>
                  <a:pt x="21" y="69"/>
                </a:lnTo>
                <a:lnTo>
                  <a:pt x="9" y="53"/>
                </a:lnTo>
                <a:lnTo>
                  <a:pt x="5" y="42"/>
                </a:lnTo>
                <a:lnTo>
                  <a:pt x="2" y="29"/>
                </a:lnTo>
                <a:lnTo>
                  <a:pt x="1" y="14"/>
                </a:lnTo>
                <a:lnTo>
                  <a:pt x="1" y="7"/>
                </a:lnTo>
                <a:lnTo>
                  <a:pt x="2" y="0"/>
                </a:lnTo>
                <a:close/>
              </a:path>
            </a:pathLst>
          </a:custGeom>
          <a:solidFill>
            <a:schemeClr val="accent3"/>
          </a:solidFill>
          <a:ln w="0">
            <a:solidFill>
              <a:schemeClr val="accent3"/>
            </a:solidFill>
            <a:prstDash val="solid"/>
            <a:round/>
            <a:headEnd/>
            <a:tailEnd/>
          </a:ln>
        </xdr:spPr>
      </xdr:sp>
      <xdr:sp macro="" textlink="">
        <xdr:nvSpPr>
          <xdr:cNvPr id="66" name="Freeform 114"/>
          <xdr:cNvSpPr>
            <a:spLocks/>
          </xdr:cNvSpPr>
        </xdr:nvSpPr>
        <xdr:spPr bwMode="auto">
          <a:xfrm>
            <a:off x="427" y="97"/>
            <a:ext cx="6" cy="3"/>
          </a:xfrm>
          <a:custGeom>
            <a:avLst/>
            <a:gdLst>
              <a:gd name="T0" fmla="*/ 0 w 30"/>
              <a:gd name="T1" fmla="*/ 0 h 19"/>
              <a:gd name="T2" fmla="*/ 30 w 30"/>
              <a:gd name="T3" fmla="*/ 4 h 19"/>
              <a:gd name="T4" fmla="*/ 28 w 30"/>
              <a:gd name="T5" fmla="*/ 11 h 19"/>
              <a:gd name="T6" fmla="*/ 26 w 30"/>
              <a:gd name="T7" fmla="*/ 19 h 19"/>
              <a:gd name="T8" fmla="*/ 0 w 30"/>
              <a:gd name="T9" fmla="*/ 0 h 19"/>
            </a:gdLst>
            <a:ahLst/>
            <a:cxnLst>
              <a:cxn ang="0">
                <a:pos x="T0" y="T1"/>
              </a:cxn>
              <a:cxn ang="0">
                <a:pos x="T2" y="T3"/>
              </a:cxn>
              <a:cxn ang="0">
                <a:pos x="T4" y="T5"/>
              </a:cxn>
              <a:cxn ang="0">
                <a:pos x="T6" y="T7"/>
              </a:cxn>
              <a:cxn ang="0">
                <a:pos x="T8" y="T9"/>
              </a:cxn>
            </a:cxnLst>
            <a:rect l="0" t="0" r="r" b="b"/>
            <a:pathLst>
              <a:path w="30" h="19">
                <a:moveTo>
                  <a:pt x="0" y="0"/>
                </a:moveTo>
                <a:lnTo>
                  <a:pt x="30" y="4"/>
                </a:lnTo>
                <a:lnTo>
                  <a:pt x="28" y="11"/>
                </a:lnTo>
                <a:lnTo>
                  <a:pt x="26" y="19"/>
                </a:lnTo>
                <a:lnTo>
                  <a:pt x="0" y="0"/>
                </a:lnTo>
                <a:close/>
              </a:path>
            </a:pathLst>
          </a:custGeom>
          <a:solidFill>
            <a:srgbClr val="51A200"/>
          </a:solidFill>
          <a:ln w="0">
            <a:noFill/>
            <a:prstDash val="solid"/>
            <a:round/>
            <a:headEnd/>
            <a:tailEnd/>
          </a:ln>
        </xdr:spPr>
      </xdr:sp>
      <xdr:sp macro="" textlink="">
        <xdr:nvSpPr>
          <xdr:cNvPr id="67" name="Freeform 115"/>
          <xdr:cNvSpPr>
            <a:spLocks noEditPoints="1"/>
          </xdr:cNvSpPr>
        </xdr:nvSpPr>
        <xdr:spPr bwMode="auto">
          <a:xfrm>
            <a:off x="658" y="32"/>
            <a:ext cx="54" cy="74"/>
          </a:xfrm>
          <a:custGeom>
            <a:avLst/>
            <a:gdLst>
              <a:gd name="T0" fmla="*/ 181 w 266"/>
              <a:gd name="T1" fmla="*/ 142 h 370"/>
              <a:gd name="T2" fmla="*/ 173 w 266"/>
              <a:gd name="T3" fmla="*/ 179 h 370"/>
              <a:gd name="T4" fmla="*/ 204 w 266"/>
              <a:gd name="T5" fmla="*/ 199 h 370"/>
              <a:gd name="T6" fmla="*/ 235 w 266"/>
              <a:gd name="T7" fmla="*/ 179 h 370"/>
              <a:gd name="T8" fmla="*/ 227 w 266"/>
              <a:gd name="T9" fmla="*/ 142 h 370"/>
              <a:gd name="T10" fmla="*/ 86 w 266"/>
              <a:gd name="T11" fmla="*/ 0 h 370"/>
              <a:gd name="T12" fmla="*/ 135 w 266"/>
              <a:gd name="T13" fmla="*/ 47 h 370"/>
              <a:gd name="T14" fmla="*/ 167 w 266"/>
              <a:gd name="T15" fmla="*/ 72 h 370"/>
              <a:gd name="T16" fmla="*/ 173 w 266"/>
              <a:gd name="T17" fmla="*/ 0 h 370"/>
              <a:gd name="T18" fmla="*/ 202 w 266"/>
              <a:gd name="T19" fmla="*/ 107 h 370"/>
              <a:gd name="T20" fmla="*/ 222 w 266"/>
              <a:gd name="T21" fmla="*/ 4 h 370"/>
              <a:gd name="T22" fmla="*/ 238 w 266"/>
              <a:gd name="T23" fmla="*/ 42 h 370"/>
              <a:gd name="T24" fmla="*/ 244 w 266"/>
              <a:gd name="T25" fmla="*/ 74 h 370"/>
              <a:gd name="T26" fmla="*/ 266 w 266"/>
              <a:gd name="T27" fmla="*/ 67 h 370"/>
              <a:gd name="T28" fmla="*/ 266 w 266"/>
              <a:gd name="T29" fmla="*/ 106 h 370"/>
              <a:gd name="T30" fmla="*/ 266 w 266"/>
              <a:gd name="T31" fmla="*/ 138 h 370"/>
              <a:gd name="T32" fmla="*/ 266 w 266"/>
              <a:gd name="T33" fmla="*/ 164 h 370"/>
              <a:gd name="T34" fmla="*/ 266 w 266"/>
              <a:gd name="T35" fmla="*/ 229 h 370"/>
              <a:gd name="T36" fmla="*/ 232 w 266"/>
              <a:gd name="T37" fmla="*/ 226 h 370"/>
              <a:gd name="T38" fmla="*/ 251 w 266"/>
              <a:gd name="T39" fmla="*/ 318 h 370"/>
              <a:gd name="T40" fmla="*/ 239 w 266"/>
              <a:gd name="T41" fmla="*/ 339 h 370"/>
              <a:gd name="T42" fmla="*/ 207 w 266"/>
              <a:gd name="T43" fmla="*/ 225 h 370"/>
              <a:gd name="T44" fmla="*/ 182 w 266"/>
              <a:gd name="T45" fmla="*/ 341 h 370"/>
              <a:gd name="T46" fmla="*/ 168 w 266"/>
              <a:gd name="T47" fmla="*/ 320 h 370"/>
              <a:gd name="T48" fmla="*/ 182 w 266"/>
              <a:gd name="T49" fmla="*/ 227 h 370"/>
              <a:gd name="T50" fmla="*/ 131 w 266"/>
              <a:gd name="T51" fmla="*/ 306 h 370"/>
              <a:gd name="T52" fmla="*/ 103 w 266"/>
              <a:gd name="T53" fmla="*/ 320 h 370"/>
              <a:gd name="T54" fmla="*/ 141 w 266"/>
              <a:gd name="T55" fmla="*/ 244 h 370"/>
              <a:gd name="T56" fmla="*/ 106 w 266"/>
              <a:gd name="T57" fmla="*/ 251 h 370"/>
              <a:gd name="T58" fmla="*/ 36 w 266"/>
              <a:gd name="T59" fmla="*/ 286 h 370"/>
              <a:gd name="T60" fmla="*/ 91 w 266"/>
              <a:gd name="T61" fmla="*/ 230 h 370"/>
              <a:gd name="T62" fmla="*/ 111 w 266"/>
              <a:gd name="T63" fmla="*/ 202 h 370"/>
              <a:gd name="T64" fmla="*/ 17 w 266"/>
              <a:gd name="T65" fmla="*/ 215 h 370"/>
              <a:gd name="T66" fmla="*/ 66 w 266"/>
              <a:gd name="T67" fmla="*/ 187 h 370"/>
              <a:gd name="T68" fmla="*/ 103 w 266"/>
              <a:gd name="T69" fmla="*/ 163 h 370"/>
              <a:gd name="T70" fmla="*/ 0 w 266"/>
              <a:gd name="T71" fmla="*/ 131 h 370"/>
              <a:gd name="T72" fmla="*/ 70 w 266"/>
              <a:gd name="T73" fmla="*/ 130 h 370"/>
              <a:gd name="T74" fmla="*/ 112 w 266"/>
              <a:gd name="T75" fmla="*/ 126 h 370"/>
              <a:gd name="T76" fmla="*/ 44 w 266"/>
              <a:gd name="T77" fmla="*/ 75 h 370"/>
              <a:gd name="T78" fmla="*/ 74 w 266"/>
              <a:gd name="T79" fmla="*/ 75 h 370"/>
              <a:gd name="T80" fmla="*/ 161 w 266"/>
              <a:gd name="T81" fmla="*/ 125 h 370"/>
              <a:gd name="T82" fmla="*/ 106 w 266"/>
              <a:gd name="T83" fmla="*/ 44 h 3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266" h="370">
                <a:moveTo>
                  <a:pt x="204" y="132"/>
                </a:moveTo>
                <a:lnTo>
                  <a:pt x="191" y="136"/>
                </a:lnTo>
                <a:lnTo>
                  <a:pt x="181" y="142"/>
                </a:lnTo>
                <a:lnTo>
                  <a:pt x="173" y="153"/>
                </a:lnTo>
                <a:lnTo>
                  <a:pt x="171" y="166"/>
                </a:lnTo>
                <a:lnTo>
                  <a:pt x="173" y="179"/>
                </a:lnTo>
                <a:lnTo>
                  <a:pt x="181" y="190"/>
                </a:lnTo>
                <a:lnTo>
                  <a:pt x="191" y="197"/>
                </a:lnTo>
                <a:lnTo>
                  <a:pt x="204" y="199"/>
                </a:lnTo>
                <a:lnTo>
                  <a:pt x="217" y="197"/>
                </a:lnTo>
                <a:lnTo>
                  <a:pt x="227" y="190"/>
                </a:lnTo>
                <a:lnTo>
                  <a:pt x="235" y="179"/>
                </a:lnTo>
                <a:lnTo>
                  <a:pt x="238" y="166"/>
                </a:lnTo>
                <a:lnTo>
                  <a:pt x="235" y="153"/>
                </a:lnTo>
                <a:lnTo>
                  <a:pt x="227" y="142"/>
                </a:lnTo>
                <a:lnTo>
                  <a:pt x="217" y="136"/>
                </a:lnTo>
                <a:lnTo>
                  <a:pt x="204" y="132"/>
                </a:lnTo>
                <a:close/>
                <a:moveTo>
                  <a:pt x="86" y="0"/>
                </a:moveTo>
                <a:lnTo>
                  <a:pt x="88" y="0"/>
                </a:lnTo>
                <a:lnTo>
                  <a:pt x="111" y="21"/>
                </a:lnTo>
                <a:lnTo>
                  <a:pt x="135" y="47"/>
                </a:lnTo>
                <a:lnTo>
                  <a:pt x="158" y="77"/>
                </a:lnTo>
                <a:lnTo>
                  <a:pt x="176" y="106"/>
                </a:lnTo>
                <a:lnTo>
                  <a:pt x="167" y="72"/>
                </a:lnTo>
                <a:lnTo>
                  <a:pt x="160" y="34"/>
                </a:lnTo>
                <a:lnTo>
                  <a:pt x="156" y="0"/>
                </a:lnTo>
                <a:lnTo>
                  <a:pt x="173" y="0"/>
                </a:lnTo>
                <a:lnTo>
                  <a:pt x="185" y="31"/>
                </a:lnTo>
                <a:lnTo>
                  <a:pt x="194" y="66"/>
                </a:lnTo>
                <a:lnTo>
                  <a:pt x="202" y="107"/>
                </a:lnTo>
                <a:lnTo>
                  <a:pt x="208" y="66"/>
                </a:lnTo>
                <a:lnTo>
                  <a:pt x="214" y="33"/>
                </a:lnTo>
                <a:lnTo>
                  <a:pt x="222" y="4"/>
                </a:lnTo>
                <a:lnTo>
                  <a:pt x="232" y="8"/>
                </a:lnTo>
                <a:lnTo>
                  <a:pt x="240" y="15"/>
                </a:lnTo>
                <a:lnTo>
                  <a:pt x="238" y="42"/>
                </a:lnTo>
                <a:lnTo>
                  <a:pt x="235" y="70"/>
                </a:lnTo>
                <a:lnTo>
                  <a:pt x="227" y="104"/>
                </a:lnTo>
                <a:lnTo>
                  <a:pt x="244" y="74"/>
                </a:lnTo>
                <a:lnTo>
                  <a:pt x="262" y="46"/>
                </a:lnTo>
                <a:lnTo>
                  <a:pt x="265" y="56"/>
                </a:lnTo>
                <a:lnTo>
                  <a:pt x="266" y="67"/>
                </a:lnTo>
                <a:lnTo>
                  <a:pt x="266" y="92"/>
                </a:lnTo>
                <a:lnTo>
                  <a:pt x="244" y="123"/>
                </a:lnTo>
                <a:lnTo>
                  <a:pt x="266" y="106"/>
                </a:lnTo>
                <a:lnTo>
                  <a:pt x="266" y="138"/>
                </a:lnTo>
                <a:lnTo>
                  <a:pt x="264" y="139"/>
                </a:lnTo>
                <a:lnTo>
                  <a:pt x="266" y="138"/>
                </a:lnTo>
                <a:lnTo>
                  <a:pt x="266" y="164"/>
                </a:lnTo>
                <a:lnTo>
                  <a:pt x="263" y="164"/>
                </a:lnTo>
                <a:lnTo>
                  <a:pt x="266" y="164"/>
                </a:lnTo>
                <a:lnTo>
                  <a:pt x="266" y="219"/>
                </a:lnTo>
                <a:lnTo>
                  <a:pt x="247" y="206"/>
                </a:lnTo>
                <a:lnTo>
                  <a:pt x="266" y="229"/>
                </a:lnTo>
                <a:lnTo>
                  <a:pt x="266" y="275"/>
                </a:lnTo>
                <a:lnTo>
                  <a:pt x="250" y="255"/>
                </a:lnTo>
                <a:lnTo>
                  <a:pt x="232" y="226"/>
                </a:lnTo>
                <a:lnTo>
                  <a:pt x="241" y="259"/>
                </a:lnTo>
                <a:lnTo>
                  <a:pt x="247" y="289"/>
                </a:lnTo>
                <a:lnTo>
                  <a:pt x="251" y="318"/>
                </a:lnTo>
                <a:lnTo>
                  <a:pt x="253" y="344"/>
                </a:lnTo>
                <a:lnTo>
                  <a:pt x="253" y="367"/>
                </a:lnTo>
                <a:lnTo>
                  <a:pt x="239" y="339"/>
                </a:lnTo>
                <a:lnTo>
                  <a:pt x="225" y="304"/>
                </a:lnTo>
                <a:lnTo>
                  <a:pt x="214" y="266"/>
                </a:lnTo>
                <a:lnTo>
                  <a:pt x="207" y="225"/>
                </a:lnTo>
                <a:lnTo>
                  <a:pt x="201" y="266"/>
                </a:lnTo>
                <a:lnTo>
                  <a:pt x="193" y="305"/>
                </a:lnTo>
                <a:lnTo>
                  <a:pt x="182" y="341"/>
                </a:lnTo>
                <a:lnTo>
                  <a:pt x="170" y="370"/>
                </a:lnTo>
                <a:lnTo>
                  <a:pt x="168" y="347"/>
                </a:lnTo>
                <a:lnTo>
                  <a:pt x="168" y="320"/>
                </a:lnTo>
                <a:lnTo>
                  <a:pt x="170" y="292"/>
                </a:lnTo>
                <a:lnTo>
                  <a:pt x="174" y="262"/>
                </a:lnTo>
                <a:lnTo>
                  <a:pt x="182" y="227"/>
                </a:lnTo>
                <a:lnTo>
                  <a:pt x="164" y="257"/>
                </a:lnTo>
                <a:lnTo>
                  <a:pt x="147" y="283"/>
                </a:lnTo>
                <a:lnTo>
                  <a:pt x="131" y="306"/>
                </a:lnTo>
                <a:lnTo>
                  <a:pt x="113" y="326"/>
                </a:lnTo>
                <a:lnTo>
                  <a:pt x="96" y="343"/>
                </a:lnTo>
                <a:lnTo>
                  <a:pt x="103" y="320"/>
                </a:lnTo>
                <a:lnTo>
                  <a:pt x="113" y="296"/>
                </a:lnTo>
                <a:lnTo>
                  <a:pt x="125" y="270"/>
                </a:lnTo>
                <a:lnTo>
                  <a:pt x="141" y="244"/>
                </a:lnTo>
                <a:lnTo>
                  <a:pt x="164" y="208"/>
                </a:lnTo>
                <a:lnTo>
                  <a:pt x="132" y="234"/>
                </a:lnTo>
                <a:lnTo>
                  <a:pt x="106" y="251"/>
                </a:lnTo>
                <a:lnTo>
                  <a:pt x="81" y="266"/>
                </a:lnTo>
                <a:lnTo>
                  <a:pt x="58" y="277"/>
                </a:lnTo>
                <a:lnTo>
                  <a:pt x="36" y="286"/>
                </a:lnTo>
                <a:lnTo>
                  <a:pt x="50" y="268"/>
                </a:lnTo>
                <a:lnTo>
                  <a:pt x="69" y="249"/>
                </a:lnTo>
                <a:lnTo>
                  <a:pt x="91" y="230"/>
                </a:lnTo>
                <a:lnTo>
                  <a:pt x="115" y="213"/>
                </a:lnTo>
                <a:lnTo>
                  <a:pt x="144" y="193"/>
                </a:lnTo>
                <a:lnTo>
                  <a:pt x="111" y="202"/>
                </a:lnTo>
                <a:lnTo>
                  <a:pt x="77" y="209"/>
                </a:lnTo>
                <a:lnTo>
                  <a:pt x="45" y="214"/>
                </a:lnTo>
                <a:lnTo>
                  <a:pt x="17" y="215"/>
                </a:lnTo>
                <a:lnTo>
                  <a:pt x="4" y="215"/>
                </a:lnTo>
                <a:lnTo>
                  <a:pt x="32" y="200"/>
                </a:lnTo>
                <a:lnTo>
                  <a:pt x="66" y="187"/>
                </a:lnTo>
                <a:lnTo>
                  <a:pt x="105" y="176"/>
                </a:lnTo>
                <a:lnTo>
                  <a:pt x="145" y="168"/>
                </a:lnTo>
                <a:lnTo>
                  <a:pt x="103" y="163"/>
                </a:lnTo>
                <a:lnTo>
                  <a:pt x="65" y="154"/>
                </a:lnTo>
                <a:lnTo>
                  <a:pt x="30" y="144"/>
                </a:lnTo>
                <a:lnTo>
                  <a:pt x="0" y="131"/>
                </a:lnTo>
                <a:lnTo>
                  <a:pt x="17" y="129"/>
                </a:lnTo>
                <a:lnTo>
                  <a:pt x="36" y="129"/>
                </a:lnTo>
                <a:lnTo>
                  <a:pt x="70" y="130"/>
                </a:lnTo>
                <a:lnTo>
                  <a:pt x="109" y="136"/>
                </a:lnTo>
                <a:lnTo>
                  <a:pt x="142" y="143"/>
                </a:lnTo>
                <a:lnTo>
                  <a:pt x="112" y="126"/>
                </a:lnTo>
                <a:lnTo>
                  <a:pt x="87" y="109"/>
                </a:lnTo>
                <a:lnTo>
                  <a:pt x="64" y="92"/>
                </a:lnTo>
                <a:lnTo>
                  <a:pt x="44" y="75"/>
                </a:lnTo>
                <a:lnTo>
                  <a:pt x="27" y="58"/>
                </a:lnTo>
                <a:lnTo>
                  <a:pt x="50" y="65"/>
                </a:lnTo>
                <a:lnTo>
                  <a:pt x="74" y="75"/>
                </a:lnTo>
                <a:lnTo>
                  <a:pt x="100" y="88"/>
                </a:lnTo>
                <a:lnTo>
                  <a:pt x="126" y="102"/>
                </a:lnTo>
                <a:lnTo>
                  <a:pt x="161" y="125"/>
                </a:lnTo>
                <a:lnTo>
                  <a:pt x="136" y="93"/>
                </a:lnTo>
                <a:lnTo>
                  <a:pt x="119" y="68"/>
                </a:lnTo>
                <a:lnTo>
                  <a:pt x="106" y="44"/>
                </a:lnTo>
                <a:lnTo>
                  <a:pt x="94" y="21"/>
                </a:lnTo>
                <a:lnTo>
                  <a:pt x="86" y="0"/>
                </a:lnTo>
                <a:close/>
              </a:path>
            </a:pathLst>
          </a:custGeom>
          <a:solidFill>
            <a:schemeClr val="accent2"/>
          </a:solidFill>
          <a:ln w="0">
            <a:solidFill>
              <a:schemeClr val="accent2"/>
            </a:solidFill>
            <a:prstDash val="solid"/>
            <a:round/>
            <a:headEnd/>
            <a:tailEnd/>
          </a:ln>
        </xdr:spPr>
      </xdr:sp>
    </xdr:grpSp>
    <xdr:clientData/>
  </xdr:twoCellAnchor>
  <xdr:twoCellAnchor>
    <xdr:from>
      <xdr:col>1</xdr:col>
      <xdr:colOff>19050</xdr:colOff>
      <xdr:row>41</xdr:row>
      <xdr:rowOff>171450</xdr:rowOff>
    </xdr:from>
    <xdr:to>
      <xdr:col>31</xdr:col>
      <xdr:colOff>247650</xdr:colOff>
      <xdr:row>44</xdr:row>
      <xdr:rowOff>85725</xdr:rowOff>
    </xdr:to>
    <xdr:grpSp>
      <xdr:nvGrpSpPr>
        <xdr:cNvPr id="68" name="Artwork Footer" descr="Collection of brightly colored flowers." title="Template"/>
        <xdr:cNvGrpSpPr>
          <a:grpSpLocks noChangeAspect="1"/>
        </xdr:cNvGrpSpPr>
      </xdr:nvGrpSpPr>
      <xdr:grpSpPr bwMode="auto">
        <a:xfrm>
          <a:off x="260838" y="9410700"/>
          <a:ext cx="8801100" cy="471121"/>
          <a:chOff x="25" y="785"/>
          <a:chExt cx="924" cy="50"/>
        </a:xfrm>
      </xdr:grpSpPr>
      <xdr:sp macro="" textlink="">
        <xdr:nvSpPr>
          <xdr:cNvPr id="69" name="Freeform 120"/>
          <xdr:cNvSpPr>
            <a:spLocks/>
          </xdr:cNvSpPr>
        </xdr:nvSpPr>
        <xdr:spPr bwMode="auto">
          <a:xfrm>
            <a:off x="28" y="830"/>
            <a:ext cx="10" cy="5"/>
          </a:xfrm>
          <a:custGeom>
            <a:avLst/>
            <a:gdLst>
              <a:gd name="T0" fmla="*/ 0 w 42"/>
              <a:gd name="T1" fmla="*/ 0 h 18"/>
              <a:gd name="T2" fmla="*/ 13 w 42"/>
              <a:gd name="T3" fmla="*/ 10 h 18"/>
              <a:gd name="T4" fmla="*/ 26 w 42"/>
              <a:gd name="T5" fmla="*/ 16 h 18"/>
              <a:gd name="T6" fmla="*/ 42 w 42"/>
              <a:gd name="T7" fmla="*/ 18 h 18"/>
              <a:gd name="T8" fmla="*/ 7 w 42"/>
              <a:gd name="T9" fmla="*/ 18 h 18"/>
              <a:gd name="T10" fmla="*/ 0 w 42"/>
              <a:gd name="T11" fmla="*/ 0 h 18"/>
            </a:gdLst>
            <a:ahLst/>
            <a:cxnLst>
              <a:cxn ang="0">
                <a:pos x="T0" y="T1"/>
              </a:cxn>
              <a:cxn ang="0">
                <a:pos x="T2" y="T3"/>
              </a:cxn>
              <a:cxn ang="0">
                <a:pos x="T4" y="T5"/>
              </a:cxn>
              <a:cxn ang="0">
                <a:pos x="T6" y="T7"/>
              </a:cxn>
              <a:cxn ang="0">
                <a:pos x="T8" y="T9"/>
              </a:cxn>
              <a:cxn ang="0">
                <a:pos x="T10" y="T11"/>
              </a:cxn>
            </a:cxnLst>
            <a:rect l="0" t="0" r="r" b="b"/>
            <a:pathLst>
              <a:path w="42" h="18">
                <a:moveTo>
                  <a:pt x="0" y="0"/>
                </a:moveTo>
                <a:lnTo>
                  <a:pt x="13" y="10"/>
                </a:lnTo>
                <a:lnTo>
                  <a:pt x="26" y="16"/>
                </a:lnTo>
                <a:lnTo>
                  <a:pt x="42" y="18"/>
                </a:lnTo>
                <a:lnTo>
                  <a:pt x="7" y="18"/>
                </a:lnTo>
                <a:lnTo>
                  <a:pt x="0" y="0"/>
                </a:lnTo>
                <a:close/>
              </a:path>
            </a:pathLst>
          </a:custGeom>
          <a:solidFill>
            <a:srgbClr val="FF3AEC"/>
          </a:solidFill>
          <a:ln w="0">
            <a:noFill/>
            <a:prstDash val="solid"/>
            <a:round/>
            <a:headEnd/>
            <a:tailEnd/>
          </a:ln>
        </xdr:spPr>
      </xdr:sp>
      <xdr:sp macro="" textlink="">
        <xdr:nvSpPr>
          <xdr:cNvPr id="70" name="Freeform 121"/>
          <xdr:cNvSpPr>
            <a:spLocks/>
          </xdr:cNvSpPr>
        </xdr:nvSpPr>
        <xdr:spPr bwMode="auto">
          <a:xfrm>
            <a:off x="347" y="785"/>
            <a:ext cx="16" cy="15"/>
          </a:xfrm>
          <a:custGeom>
            <a:avLst/>
            <a:gdLst>
              <a:gd name="T0" fmla="*/ 16 w 63"/>
              <a:gd name="T1" fmla="*/ 0 h 60"/>
              <a:gd name="T2" fmla="*/ 47 w 63"/>
              <a:gd name="T3" fmla="*/ 0 h 60"/>
              <a:gd name="T4" fmla="*/ 49 w 63"/>
              <a:gd name="T5" fmla="*/ 2 h 60"/>
              <a:gd name="T6" fmla="*/ 58 w 63"/>
              <a:gd name="T7" fmla="*/ 11 h 60"/>
              <a:gd name="T8" fmla="*/ 62 w 63"/>
              <a:gd name="T9" fmla="*/ 22 h 60"/>
              <a:gd name="T10" fmla="*/ 63 w 63"/>
              <a:gd name="T11" fmla="*/ 36 h 60"/>
              <a:gd name="T12" fmla="*/ 58 w 63"/>
              <a:gd name="T13" fmla="*/ 47 h 60"/>
              <a:gd name="T14" fmla="*/ 50 w 63"/>
              <a:gd name="T15" fmla="*/ 56 h 60"/>
              <a:gd name="T16" fmla="*/ 38 w 63"/>
              <a:gd name="T17" fmla="*/ 60 h 60"/>
              <a:gd name="T18" fmla="*/ 25 w 63"/>
              <a:gd name="T19" fmla="*/ 60 h 60"/>
              <a:gd name="T20" fmla="*/ 13 w 63"/>
              <a:gd name="T21" fmla="*/ 56 h 60"/>
              <a:gd name="T22" fmla="*/ 4 w 63"/>
              <a:gd name="T23" fmla="*/ 47 h 60"/>
              <a:gd name="T24" fmla="*/ 0 w 63"/>
              <a:gd name="T25" fmla="*/ 36 h 60"/>
              <a:gd name="T26" fmla="*/ 0 w 63"/>
              <a:gd name="T27" fmla="*/ 22 h 60"/>
              <a:gd name="T28" fmla="*/ 4 w 63"/>
              <a:gd name="T29" fmla="*/ 11 h 60"/>
              <a:gd name="T30" fmla="*/ 7 w 63"/>
              <a:gd name="T31" fmla="*/ 6 h 60"/>
              <a:gd name="T32" fmla="*/ 12 w 63"/>
              <a:gd name="T33" fmla="*/ 3 h 60"/>
              <a:gd name="T34" fmla="*/ 16 w 63"/>
              <a:gd name="T35" fmla="*/ 0 h 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63" h="60">
                <a:moveTo>
                  <a:pt x="16" y="0"/>
                </a:moveTo>
                <a:lnTo>
                  <a:pt x="47" y="0"/>
                </a:lnTo>
                <a:lnTo>
                  <a:pt x="49" y="2"/>
                </a:lnTo>
                <a:lnTo>
                  <a:pt x="58" y="11"/>
                </a:lnTo>
                <a:lnTo>
                  <a:pt x="62" y="22"/>
                </a:lnTo>
                <a:lnTo>
                  <a:pt x="63" y="36"/>
                </a:lnTo>
                <a:lnTo>
                  <a:pt x="58" y="47"/>
                </a:lnTo>
                <a:lnTo>
                  <a:pt x="50" y="56"/>
                </a:lnTo>
                <a:lnTo>
                  <a:pt x="38" y="60"/>
                </a:lnTo>
                <a:lnTo>
                  <a:pt x="25" y="60"/>
                </a:lnTo>
                <a:lnTo>
                  <a:pt x="13" y="56"/>
                </a:lnTo>
                <a:lnTo>
                  <a:pt x="4" y="47"/>
                </a:lnTo>
                <a:lnTo>
                  <a:pt x="0" y="36"/>
                </a:lnTo>
                <a:lnTo>
                  <a:pt x="0" y="22"/>
                </a:lnTo>
                <a:lnTo>
                  <a:pt x="4" y="11"/>
                </a:lnTo>
                <a:lnTo>
                  <a:pt x="7" y="6"/>
                </a:lnTo>
                <a:lnTo>
                  <a:pt x="12" y="3"/>
                </a:lnTo>
                <a:lnTo>
                  <a:pt x="16" y="0"/>
                </a:lnTo>
                <a:close/>
              </a:path>
            </a:pathLst>
          </a:custGeom>
          <a:solidFill>
            <a:schemeClr val="accent5"/>
          </a:solidFill>
          <a:ln w="0">
            <a:solidFill>
              <a:schemeClr val="accent5"/>
            </a:solidFill>
            <a:prstDash val="solid"/>
            <a:round/>
            <a:headEnd/>
            <a:tailEnd/>
          </a:ln>
        </xdr:spPr>
      </xdr:sp>
      <xdr:sp macro="" textlink="">
        <xdr:nvSpPr>
          <xdr:cNvPr id="71" name="Freeform 122"/>
          <xdr:cNvSpPr>
            <a:spLocks/>
          </xdr:cNvSpPr>
        </xdr:nvSpPr>
        <xdr:spPr bwMode="auto">
          <a:xfrm>
            <a:off x="335" y="785"/>
            <a:ext cx="12" cy="2"/>
          </a:xfrm>
          <a:custGeom>
            <a:avLst/>
            <a:gdLst>
              <a:gd name="T0" fmla="*/ 0 w 49"/>
              <a:gd name="T1" fmla="*/ 0 h 7"/>
              <a:gd name="T2" fmla="*/ 46 w 49"/>
              <a:gd name="T3" fmla="*/ 0 h 7"/>
              <a:gd name="T4" fmla="*/ 49 w 49"/>
              <a:gd name="T5" fmla="*/ 7 h 7"/>
              <a:gd name="T6" fmla="*/ 24 w 49"/>
              <a:gd name="T7" fmla="*/ 6 h 7"/>
              <a:gd name="T8" fmla="*/ 0 w 49"/>
              <a:gd name="T9" fmla="*/ 0 h 7"/>
            </a:gdLst>
            <a:ahLst/>
            <a:cxnLst>
              <a:cxn ang="0">
                <a:pos x="T0" y="T1"/>
              </a:cxn>
              <a:cxn ang="0">
                <a:pos x="T2" y="T3"/>
              </a:cxn>
              <a:cxn ang="0">
                <a:pos x="T4" y="T5"/>
              </a:cxn>
              <a:cxn ang="0">
                <a:pos x="T6" y="T7"/>
              </a:cxn>
              <a:cxn ang="0">
                <a:pos x="T8" y="T9"/>
              </a:cxn>
            </a:cxnLst>
            <a:rect l="0" t="0" r="r" b="b"/>
            <a:pathLst>
              <a:path w="49" h="7">
                <a:moveTo>
                  <a:pt x="0" y="0"/>
                </a:moveTo>
                <a:lnTo>
                  <a:pt x="46" y="0"/>
                </a:lnTo>
                <a:lnTo>
                  <a:pt x="49" y="7"/>
                </a:lnTo>
                <a:lnTo>
                  <a:pt x="24" y="6"/>
                </a:lnTo>
                <a:lnTo>
                  <a:pt x="0" y="0"/>
                </a:lnTo>
                <a:close/>
              </a:path>
            </a:pathLst>
          </a:custGeom>
          <a:solidFill>
            <a:schemeClr val="accent5"/>
          </a:solidFill>
          <a:ln w="0">
            <a:solidFill>
              <a:schemeClr val="accent5"/>
            </a:solidFill>
            <a:prstDash val="solid"/>
            <a:round/>
            <a:headEnd/>
            <a:tailEnd/>
          </a:ln>
        </xdr:spPr>
      </xdr:sp>
      <xdr:sp macro="" textlink="">
        <xdr:nvSpPr>
          <xdr:cNvPr id="72" name="Freeform 123"/>
          <xdr:cNvSpPr>
            <a:spLocks/>
          </xdr:cNvSpPr>
        </xdr:nvSpPr>
        <xdr:spPr bwMode="auto">
          <a:xfrm>
            <a:off x="315" y="791"/>
            <a:ext cx="31" cy="12"/>
          </a:xfrm>
          <a:custGeom>
            <a:avLst/>
            <a:gdLst>
              <a:gd name="T0" fmla="*/ 73 w 125"/>
              <a:gd name="T1" fmla="*/ 0 h 49"/>
              <a:gd name="T2" fmla="*/ 99 w 125"/>
              <a:gd name="T3" fmla="*/ 3 h 49"/>
              <a:gd name="T4" fmla="*/ 125 w 125"/>
              <a:gd name="T5" fmla="*/ 12 h 49"/>
              <a:gd name="T6" fmla="*/ 108 w 125"/>
              <a:gd name="T7" fmla="*/ 29 h 49"/>
              <a:gd name="T8" fmla="*/ 90 w 125"/>
              <a:gd name="T9" fmla="*/ 40 h 49"/>
              <a:gd name="T10" fmla="*/ 70 w 125"/>
              <a:gd name="T11" fmla="*/ 47 h 49"/>
              <a:gd name="T12" fmla="*/ 47 w 125"/>
              <a:gd name="T13" fmla="*/ 49 h 49"/>
              <a:gd name="T14" fmla="*/ 25 w 125"/>
              <a:gd name="T15" fmla="*/ 46 h 49"/>
              <a:gd name="T16" fmla="*/ 0 w 125"/>
              <a:gd name="T17" fmla="*/ 39 h 49"/>
              <a:gd name="T18" fmla="*/ 24 w 125"/>
              <a:gd name="T19" fmla="*/ 18 h 49"/>
              <a:gd name="T20" fmla="*/ 47 w 125"/>
              <a:gd name="T21" fmla="*/ 6 h 49"/>
              <a:gd name="T22" fmla="*/ 73 w 125"/>
              <a:gd name="T23" fmla="*/ 0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25" h="49">
                <a:moveTo>
                  <a:pt x="73" y="0"/>
                </a:moveTo>
                <a:lnTo>
                  <a:pt x="99" y="3"/>
                </a:lnTo>
                <a:lnTo>
                  <a:pt x="125" y="12"/>
                </a:lnTo>
                <a:lnTo>
                  <a:pt x="108" y="29"/>
                </a:lnTo>
                <a:lnTo>
                  <a:pt x="90" y="40"/>
                </a:lnTo>
                <a:lnTo>
                  <a:pt x="70" y="47"/>
                </a:lnTo>
                <a:lnTo>
                  <a:pt x="47" y="49"/>
                </a:lnTo>
                <a:lnTo>
                  <a:pt x="25" y="46"/>
                </a:lnTo>
                <a:lnTo>
                  <a:pt x="0" y="39"/>
                </a:lnTo>
                <a:lnTo>
                  <a:pt x="24" y="18"/>
                </a:lnTo>
                <a:lnTo>
                  <a:pt x="47" y="6"/>
                </a:lnTo>
                <a:lnTo>
                  <a:pt x="73" y="0"/>
                </a:lnTo>
                <a:close/>
              </a:path>
            </a:pathLst>
          </a:custGeom>
          <a:solidFill>
            <a:schemeClr val="accent5"/>
          </a:solidFill>
          <a:ln w="0">
            <a:solidFill>
              <a:schemeClr val="accent5"/>
            </a:solidFill>
            <a:prstDash val="solid"/>
            <a:round/>
            <a:headEnd/>
            <a:tailEnd/>
          </a:ln>
        </xdr:spPr>
      </xdr:sp>
      <xdr:sp macro="" textlink="">
        <xdr:nvSpPr>
          <xdr:cNvPr id="73" name="Freeform 124"/>
          <xdr:cNvSpPr>
            <a:spLocks/>
          </xdr:cNvSpPr>
        </xdr:nvSpPr>
        <xdr:spPr bwMode="auto">
          <a:xfrm>
            <a:off x="355" y="802"/>
            <a:ext cx="11" cy="31"/>
          </a:xfrm>
          <a:custGeom>
            <a:avLst/>
            <a:gdLst>
              <a:gd name="T0" fmla="*/ 11 w 47"/>
              <a:gd name="T1" fmla="*/ 0 h 126"/>
              <a:gd name="T2" fmla="*/ 27 w 47"/>
              <a:gd name="T3" fmla="*/ 16 h 126"/>
              <a:gd name="T4" fmla="*/ 38 w 47"/>
              <a:gd name="T5" fmla="*/ 36 h 126"/>
              <a:gd name="T6" fmla="*/ 44 w 47"/>
              <a:gd name="T7" fmla="*/ 56 h 126"/>
              <a:gd name="T8" fmla="*/ 47 w 47"/>
              <a:gd name="T9" fmla="*/ 77 h 126"/>
              <a:gd name="T10" fmla="*/ 44 w 47"/>
              <a:gd name="T11" fmla="*/ 101 h 126"/>
              <a:gd name="T12" fmla="*/ 37 w 47"/>
              <a:gd name="T13" fmla="*/ 126 h 126"/>
              <a:gd name="T14" fmla="*/ 16 w 47"/>
              <a:gd name="T15" fmla="*/ 102 h 126"/>
              <a:gd name="T16" fmla="*/ 4 w 47"/>
              <a:gd name="T17" fmla="*/ 77 h 126"/>
              <a:gd name="T18" fmla="*/ 0 w 47"/>
              <a:gd name="T19" fmla="*/ 53 h 126"/>
              <a:gd name="T20" fmla="*/ 1 w 47"/>
              <a:gd name="T21" fmla="*/ 26 h 126"/>
              <a:gd name="T22" fmla="*/ 11 w 47"/>
              <a:gd name="T23" fmla="*/ 0 h 1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7" h="126">
                <a:moveTo>
                  <a:pt x="11" y="0"/>
                </a:moveTo>
                <a:lnTo>
                  <a:pt x="27" y="16"/>
                </a:lnTo>
                <a:lnTo>
                  <a:pt x="38" y="36"/>
                </a:lnTo>
                <a:lnTo>
                  <a:pt x="44" y="56"/>
                </a:lnTo>
                <a:lnTo>
                  <a:pt x="47" y="77"/>
                </a:lnTo>
                <a:lnTo>
                  <a:pt x="44" y="101"/>
                </a:lnTo>
                <a:lnTo>
                  <a:pt x="37" y="126"/>
                </a:lnTo>
                <a:lnTo>
                  <a:pt x="16" y="102"/>
                </a:lnTo>
                <a:lnTo>
                  <a:pt x="4" y="77"/>
                </a:lnTo>
                <a:lnTo>
                  <a:pt x="0" y="53"/>
                </a:lnTo>
                <a:lnTo>
                  <a:pt x="1" y="26"/>
                </a:lnTo>
                <a:lnTo>
                  <a:pt x="11" y="0"/>
                </a:lnTo>
                <a:close/>
              </a:path>
            </a:pathLst>
          </a:custGeom>
          <a:solidFill>
            <a:schemeClr val="accent5"/>
          </a:solidFill>
          <a:ln w="0">
            <a:solidFill>
              <a:schemeClr val="accent5"/>
            </a:solidFill>
            <a:prstDash val="solid"/>
            <a:round/>
            <a:headEnd/>
            <a:tailEnd/>
          </a:ln>
        </xdr:spPr>
      </xdr:sp>
      <xdr:sp macro="" textlink="">
        <xdr:nvSpPr>
          <xdr:cNvPr id="74" name="Freeform 125"/>
          <xdr:cNvSpPr>
            <a:spLocks/>
          </xdr:cNvSpPr>
        </xdr:nvSpPr>
        <xdr:spPr bwMode="auto">
          <a:xfrm>
            <a:off x="364" y="798"/>
            <a:ext cx="18" cy="12"/>
          </a:xfrm>
          <a:custGeom>
            <a:avLst/>
            <a:gdLst>
              <a:gd name="T0" fmla="*/ 0 w 72"/>
              <a:gd name="T1" fmla="*/ 0 h 48"/>
              <a:gd name="T2" fmla="*/ 24 w 72"/>
              <a:gd name="T3" fmla="*/ 0 h 48"/>
              <a:gd name="T4" fmla="*/ 44 w 72"/>
              <a:gd name="T5" fmla="*/ 6 h 48"/>
              <a:gd name="T6" fmla="*/ 63 w 72"/>
              <a:gd name="T7" fmla="*/ 15 h 48"/>
              <a:gd name="T8" fmla="*/ 68 w 72"/>
              <a:gd name="T9" fmla="*/ 18 h 48"/>
              <a:gd name="T10" fmla="*/ 72 w 72"/>
              <a:gd name="T11" fmla="*/ 22 h 48"/>
              <a:gd name="T12" fmla="*/ 60 w 72"/>
              <a:gd name="T13" fmla="*/ 22 h 48"/>
              <a:gd name="T14" fmla="*/ 50 w 72"/>
              <a:gd name="T15" fmla="*/ 25 h 48"/>
              <a:gd name="T16" fmla="*/ 40 w 72"/>
              <a:gd name="T17" fmla="*/ 33 h 48"/>
              <a:gd name="T18" fmla="*/ 34 w 72"/>
              <a:gd name="T19" fmla="*/ 43 h 48"/>
              <a:gd name="T20" fmla="*/ 32 w 72"/>
              <a:gd name="T21" fmla="*/ 48 h 48"/>
              <a:gd name="T22" fmla="*/ 20 w 72"/>
              <a:gd name="T23" fmla="*/ 35 h 48"/>
              <a:gd name="T24" fmla="*/ 8 w 72"/>
              <a:gd name="T25" fmla="*/ 20 h 48"/>
              <a:gd name="T26" fmla="*/ 0 w 72"/>
              <a:gd name="T27"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72" h="48">
                <a:moveTo>
                  <a:pt x="0" y="0"/>
                </a:moveTo>
                <a:lnTo>
                  <a:pt x="24" y="0"/>
                </a:lnTo>
                <a:lnTo>
                  <a:pt x="44" y="6"/>
                </a:lnTo>
                <a:lnTo>
                  <a:pt x="63" y="15"/>
                </a:lnTo>
                <a:lnTo>
                  <a:pt x="68" y="18"/>
                </a:lnTo>
                <a:lnTo>
                  <a:pt x="72" y="22"/>
                </a:lnTo>
                <a:lnTo>
                  <a:pt x="60" y="22"/>
                </a:lnTo>
                <a:lnTo>
                  <a:pt x="50" y="25"/>
                </a:lnTo>
                <a:lnTo>
                  <a:pt x="40" y="33"/>
                </a:lnTo>
                <a:lnTo>
                  <a:pt x="34" y="43"/>
                </a:lnTo>
                <a:lnTo>
                  <a:pt x="32" y="48"/>
                </a:lnTo>
                <a:lnTo>
                  <a:pt x="20" y="35"/>
                </a:lnTo>
                <a:lnTo>
                  <a:pt x="8" y="20"/>
                </a:lnTo>
                <a:lnTo>
                  <a:pt x="0" y="0"/>
                </a:lnTo>
                <a:close/>
              </a:path>
            </a:pathLst>
          </a:custGeom>
          <a:solidFill>
            <a:schemeClr val="accent5"/>
          </a:solidFill>
          <a:ln w="0">
            <a:solidFill>
              <a:schemeClr val="accent5"/>
            </a:solidFill>
            <a:prstDash val="solid"/>
            <a:round/>
            <a:headEnd/>
            <a:tailEnd/>
          </a:ln>
        </xdr:spPr>
      </xdr:sp>
      <xdr:sp macro="" textlink="">
        <xdr:nvSpPr>
          <xdr:cNvPr id="75" name="Freeform 126"/>
          <xdr:cNvSpPr>
            <a:spLocks/>
          </xdr:cNvSpPr>
        </xdr:nvSpPr>
        <xdr:spPr bwMode="auto">
          <a:xfrm>
            <a:off x="365" y="785"/>
            <a:ext cx="29" cy="8"/>
          </a:xfrm>
          <a:custGeom>
            <a:avLst/>
            <a:gdLst>
              <a:gd name="T0" fmla="*/ 21 w 118"/>
              <a:gd name="T1" fmla="*/ 0 h 32"/>
              <a:gd name="T2" fmla="*/ 118 w 118"/>
              <a:gd name="T3" fmla="*/ 0 h 32"/>
              <a:gd name="T4" fmla="*/ 95 w 118"/>
              <a:gd name="T5" fmla="*/ 17 h 32"/>
              <a:gd name="T6" fmla="*/ 73 w 118"/>
              <a:gd name="T7" fmla="*/ 28 h 32"/>
              <a:gd name="T8" fmla="*/ 48 w 118"/>
              <a:gd name="T9" fmla="*/ 32 h 32"/>
              <a:gd name="T10" fmla="*/ 25 w 118"/>
              <a:gd name="T11" fmla="*/ 29 h 32"/>
              <a:gd name="T12" fmla="*/ 0 w 118"/>
              <a:gd name="T13" fmla="*/ 20 h 32"/>
              <a:gd name="T14" fmla="*/ 10 w 118"/>
              <a:gd name="T15" fmla="*/ 9 h 32"/>
              <a:gd name="T16" fmla="*/ 21 w 118"/>
              <a:gd name="T17" fmla="*/ 0 h 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18" h="32">
                <a:moveTo>
                  <a:pt x="21" y="0"/>
                </a:moveTo>
                <a:lnTo>
                  <a:pt x="118" y="0"/>
                </a:lnTo>
                <a:lnTo>
                  <a:pt x="95" y="17"/>
                </a:lnTo>
                <a:lnTo>
                  <a:pt x="73" y="28"/>
                </a:lnTo>
                <a:lnTo>
                  <a:pt x="48" y="32"/>
                </a:lnTo>
                <a:lnTo>
                  <a:pt x="25" y="29"/>
                </a:lnTo>
                <a:lnTo>
                  <a:pt x="0" y="20"/>
                </a:lnTo>
                <a:lnTo>
                  <a:pt x="10" y="9"/>
                </a:lnTo>
                <a:lnTo>
                  <a:pt x="21" y="0"/>
                </a:lnTo>
                <a:close/>
              </a:path>
            </a:pathLst>
          </a:custGeom>
          <a:solidFill>
            <a:schemeClr val="accent5"/>
          </a:solidFill>
          <a:ln w="0">
            <a:solidFill>
              <a:schemeClr val="accent5"/>
            </a:solidFill>
            <a:prstDash val="solid"/>
            <a:round/>
            <a:headEnd/>
            <a:tailEnd/>
          </a:ln>
        </xdr:spPr>
      </xdr:sp>
      <xdr:sp macro="" textlink="">
        <xdr:nvSpPr>
          <xdr:cNvPr id="76" name="Freeform 127"/>
          <xdr:cNvSpPr>
            <a:spLocks/>
          </xdr:cNvSpPr>
        </xdr:nvSpPr>
        <xdr:spPr bwMode="auto">
          <a:xfrm>
            <a:off x="333" y="800"/>
            <a:ext cx="17" cy="27"/>
          </a:xfrm>
          <a:custGeom>
            <a:avLst/>
            <a:gdLst>
              <a:gd name="T0" fmla="*/ 70 w 70"/>
              <a:gd name="T1" fmla="*/ 0 h 107"/>
              <a:gd name="T2" fmla="*/ 70 w 70"/>
              <a:gd name="T3" fmla="*/ 24 h 107"/>
              <a:gd name="T4" fmla="*/ 65 w 70"/>
              <a:gd name="T5" fmla="*/ 44 h 107"/>
              <a:gd name="T6" fmla="*/ 55 w 70"/>
              <a:gd name="T7" fmla="*/ 63 h 107"/>
              <a:gd name="T8" fmla="*/ 42 w 70"/>
              <a:gd name="T9" fmla="*/ 80 h 107"/>
              <a:gd name="T10" fmla="*/ 23 w 70"/>
              <a:gd name="T11" fmla="*/ 95 h 107"/>
              <a:gd name="T12" fmla="*/ 0 w 70"/>
              <a:gd name="T13" fmla="*/ 107 h 107"/>
              <a:gd name="T14" fmla="*/ 1 w 70"/>
              <a:gd name="T15" fmla="*/ 81 h 107"/>
              <a:gd name="T16" fmla="*/ 8 w 70"/>
              <a:gd name="T17" fmla="*/ 58 h 107"/>
              <a:gd name="T18" fmla="*/ 18 w 70"/>
              <a:gd name="T19" fmla="*/ 38 h 107"/>
              <a:gd name="T20" fmla="*/ 32 w 70"/>
              <a:gd name="T21" fmla="*/ 22 h 107"/>
              <a:gd name="T22" fmla="*/ 48 w 70"/>
              <a:gd name="T23" fmla="*/ 9 h 107"/>
              <a:gd name="T24" fmla="*/ 70 w 70"/>
              <a:gd name="T25" fmla="*/ 0 h 1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0" h="107">
                <a:moveTo>
                  <a:pt x="70" y="0"/>
                </a:moveTo>
                <a:lnTo>
                  <a:pt x="70" y="24"/>
                </a:lnTo>
                <a:lnTo>
                  <a:pt x="65" y="44"/>
                </a:lnTo>
                <a:lnTo>
                  <a:pt x="55" y="63"/>
                </a:lnTo>
                <a:lnTo>
                  <a:pt x="42" y="80"/>
                </a:lnTo>
                <a:lnTo>
                  <a:pt x="23" y="95"/>
                </a:lnTo>
                <a:lnTo>
                  <a:pt x="0" y="107"/>
                </a:lnTo>
                <a:lnTo>
                  <a:pt x="1" y="81"/>
                </a:lnTo>
                <a:lnTo>
                  <a:pt x="8" y="58"/>
                </a:lnTo>
                <a:lnTo>
                  <a:pt x="18" y="38"/>
                </a:lnTo>
                <a:lnTo>
                  <a:pt x="32" y="22"/>
                </a:lnTo>
                <a:lnTo>
                  <a:pt x="48" y="9"/>
                </a:lnTo>
                <a:lnTo>
                  <a:pt x="70" y="0"/>
                </a:lnTo>
                <a:close/>
              </a:path>
            </a:pathLst>
          </a:custGeom>
          <a:solidFill>
            <a:schemeClr val="accent5"/>
          </a:solidFill>
          <a:ln w="0">
            <a:solidFill>
              <a:schemeClr val="accent5"/>
            </a:solidFill>
            <a:prstDash val="solid"/>
            <a:round/>
            <a:headEnd/>
            <a:tailEnd/>
          </a:ln>
        </xdr:spPr>
      </xdr:sp>
      <xdr:sp macro="" textlink="">
        <xdr:nvSpPr>
          <xdr:cNvPr id="77" name="Freeform 128"/>
          <xdr:cNvSpPr>
            <a:spLocks/>
          </xdr:cNvSpPr>
        </xdr:nvSpPr>
        <xdr:spPr bwMode="auto">
          <a:xfrm>
            <a:off x="302" y="819"/>
            <a:ext cx="9" cy="16"/>
          </a:xfrm>
          <a:custGeom>
            <a:avLst/>
            <a:gdLst>
              <a:gd name="T0" fmla="*/ 28 w 34"/>
              <a:gd name="T1" fmla="*/ 0 h 66"/>
              <a:gd name="T2" fmla="*/ 32 w 34"/>
              <a:gd name="T3" fmla="*/ 32 h 66"/>
              <a:gd name="T4" fmla="*/ 34 w 34"/>
              <a:gd name="T5" fmla="*/ 66 h 66"/>
              <a:gd name="T6" fmla="*/ 0 w 34"/>
              <a:gd name="T7" fmla="*/ 66 h 66"/>
              <a:gd name="T8" fmla="*/ 3 w 34"/>
              <a:gd name="T9" fmla="*/ 21 h 66"/>
              <a:gd name="T10" fmla="*/ 17 w 34"/>
              <a:gd name="T11" fmla="*/ 12 h 66"/>
              <a:gd name="T12" fmla="*/ 28 w 34"/>
              <a:gd name="T13" fmla="*/ 0 h 66"/>
            </a:gdLst>
            <a:ahLst/>
            <a:cxnLst>
              <a:cxn ang="0">
                <a:pos x="T0" y="T1"/>
              </a:cxn>
              <a:cxn ang="0">
                <a:pos x="T2" y="T3"/>
              </a:cxn>
              <a:cxn ang="0">
                <a:pos x="T4" y="T5"/>
              </a:cxn>
              <a:cxn ang="0">
                <a:pos x="T6" y="T7"/>
              </a:cxn>
              <a:cxn ang="0">
                <a:pos x="T8" y="T9"/>
              </a:cxn>
              <a:cxn ang="0">
                <a:pos x="T10" y="T11"/>
              </a:cxn>
              <a:cxn ang="0">
                <a:pos x="T12" y="T13"/>
              </a:cxn>
            </a:cxnLst>
            <a:rect l="0" t="0" r="r" b="b"/>
            <a:pathLst>
              <a:path w="34" h="66">
                <a:moveTo>
                  <a:pt x="28" y="0"/>
                </a:moveTo>
                <a:lnTo>
                  <a:pt x="32" y="32"/>
                </a:lnTo>
                <a:lnTo>
                  <a:pt x="34" y="66"/>
                </a:lnTo>
                <a:lnTo>
                  <a:pt x="0" y="66"/>
                </a:lnTo>
                <a:lnTo>
                  <a:pt x="3" y="21"/>
                </a:lnTo>
                <a:lnTo>
                  <a:pt x="17" y="12"/>
                </a:lnTo>
                <a:lnTo>
                  <a:pt x="28" y="0"/>
                </a:lnTo>
                <a:close/>
              </a:path>
            </a:pathLst>
          </a:custGeom>
          <a:solidFill>
            <a:schemeClr val="accent6"/>
          </a:solidFill>
          <a:ln w="0">
            <a:solidFill>
              <a:schemeClr val="accent6"/>
            </a:solidFill>
            <a:prstDash val="solid"/>
            <a:round/>
            <a:headEnd/>
            <a:tailEnd/>
          </a:ln>
        </xdr:spPr>
      </xdr:sp>
      <xdr:sp macro="" textlink="">
        <xdr:nvSpPr>
          <xdr:cNvPr id="78" name="Freeform 129"/>
          <xdr:cNvSpPr>
            <a:spLocks/>
          </xdr:cNvSpPr>
        </xdr:nvSpPr>
        <xdr:spPr bwMode="auto">
          <a:xfrm>
            <a:off x="261" y="825"/>
            <a:ext cx="7" cy="5"/>
          </a:xfrm>
          <a:custGeom>
            <a:avLst/>
            <a:gdLst>
              <a:gd name="T0" fmla="*/ 0 w 30"/>
              <a:gd name="T1" fmla="*/ 0 h 24"/>
              <a:gd name="T2" fmla="*/ 15 w 30"/>
              <a:gd name="T3" fmla="*/ 8 h 24"/>
              <a:gd name="T4" fmla="*/ 30 w 30"/>
              <a:gd name="T5" fmla="*/ 18 h 24"/>
              <a:gd name="T6" fmla="*/ 23 w 30"/>
              <a:gd name="T7" fmla="*/ 22 h 24"/>
              <a:gd name="T8" fmla="*/ 15 w 30"/>
              <a:gd name="T9" fmla="*/ 24 h 24"/>
              <a:gd name="T10" fmla="*/ 0 w 30"/>
              <a:gd name="T11" fmla="*/ 0 h 24"/>
            </a:gdLst>
            <a:ahLst/>
            <a:cxnLst>
              <a:cxn ang="0">
                <a:pos x="T0" y="T1"/>
              </a:cxn>
              <a:cxn ang="0">
                <a:pos x="T2" y="T3"/>
              </a:cxn>
              <a:cxn ang="0">
                <a:pos x="T4" y="T5"/>
              </a:cxn>
              <a:cxn ang="0">
                <a:pos x="T6" y="T7"/>
              </a:cxn>
              <a:cxn ang="0">
                <a:pos x="T8" y="T9"/>
              </a:cxn>
              <a:cxn ang="0">
                <a:pos x="T10" y="T11"/>
              </a:cxn>
            </a:cxnLst>
            <a:rect l="0" t="0" r="r" b="b"/>
            <a:pathLst>
              <a:path w="30" h="24">
                <a:moveTo>
                  <a:pt x="0" y="0"/>
                </a:moveTo>
                <a:lnTo>
                  <a:pt x="15" y="8"/>
                </a:lnTo>
                <a:lnTo>
                  <a:pt x="30" y="18"/>
                </a:lnTo>
                <a:lnTo>
                  <a:pt x="23" y="22"/>
                </a:lnTo>
                <a:lnTo>
                  <a:pt x="15" y="24"/>
                </a:lnTo>
                <a:lnTo>
                  <a:pt x="0" y="0"/>
                </a:lnTo>
                <a:close/>
              </a:path>
            </a:pathLst>
          </a:custGeom>
          <a:solidFill>
            <a:schemeClr val="accent6"/>
          </a:solidFill>
          <a:ln w="0">
            <a:solidFill>
              <a:schemeClr val="accent6"/>
            </a:solidFill>
            <a:prstDash val="solid"/>
            <a:round/>
            <a:headEnd/>
            <a:tailEnd/>
          </a:ln>
        </xdr:spPr>
      </xdr:sp>
      <xdr:sp macro="" textlink="">
        <xdr:nvSpPr>
          <xdr:cNvPr id="79" name="Freeform 130"/>
          <xdr:cNvSpPr>
            <a:spLocks/>
          </xdr:cNvSpPr>
        </xdr:nvSpPr>
        <xdr:spPr bwMode="auto">
          <a:xfrm>
            <a:off x="336" y="825"/>
            <a:ext cx="16" cy="10"/>
          </a:xfrm>
          <a:custGeom>
            <a:avLst/>
            <a:gdLst>
              <a:gd name="T0" fmla="*/ 62 w 62"/>
              <a:gd name="T1" fmla="*/ 0 h 42"/>
              <a:gd name="T2" fmla="*/ 50 w 62"/>
              <a:gd name="T3" fmla="*/ 20 h 42"/>
              <a:gd name="T4" fmla="*/ 36 w 62"/>
              <a:gd name="T5" fmla="*/ 42 h 42"/>
              <a:gd name="T6" fmla="*/ 0 w 62"/>
              <a:gd name="T7" fmla="*/ 42 h 42"/>
              <a:gd name="T8" fmla="*/ 22 w 62"/>
              <a:gd name="T9" fmla="*/ 26 h 42"/>
              <a:gd name="T10" fmla="*/ 42 w 62"/>
              <a:gd name="T11" fmla="*/ 11 h 42"/>
              <a:gd name="T12" fmla="*/ 62 w 62"/>
              <a:gd name="T13" fmla="*/ 0 h 42"/>
            </a:gdLst>
            <a:ahLst/>
            <a:cxnLst>
              <a:cxn ang="0">
                <a:pos x="T0" y="T1"/>
              </a:cxn>
              <a:cxn ang="0">
                <a:pos x="T2" y="T3"/>
              </a:cxn>
              <a:cxn ang="0">
                <a:pos x="T4" y="T5"/>
              </a:cxn>
              <a:cxn ang="0">
                <a:pos x="T6" y="T7"/>
              </a:cxn>
              <a:cxn ang="0">
                <a:pos x="T8" y="T9"/>
              </a:cxn>
              <a:cxn ang="0">
                <a:pos x="T10" y="T11"/>
              </a:cxn>
              <a:cxn ang="0">
                <a:pos x="T12" y="T13"/>
              </a:cxn>
            </a:cxnLst>
            <a:rect l="0" t="0" r="r" b="b"/>
            <a:pathLst>
              <a:path w="62" h="42">
                <a:moveTo>
                  <a:pt x="62" y="0"/>
                </a:moveTo>
                <a:lnTo>
                  <a:pt x="50" y="20"/>
                </a:lnTo>
                <a:lnTo>
                  <a:pt x="36" y="42"/>
                </a:lnTo>
                <a:lnTo>
                  <a:pt x="0" y="42"/>
                </a:lnTo>
                <a:lnTo>
                  <a:pt x="22" y="26"/>
                </a:lnTo>
                <a:lnTo>
                  <a:pt x="42" y="11"/>
                </a:lnTo>
                <a:lnTo>
                  <a:pt x="62" y="0"/>
                </a:lnTo>
                <a:close/>
              </a:path>
            </a:pathLst>
          </a:custGeom>
          <a:solidFill>
            <a:schemeClr val="accent6"/>
          </a:solidFill>
          <a:ln w="0">
            <a:solidFill>
              <a:schemeClr val="accent6"/>
            </a:solidFill>
            <a:prstDash val="solid"/>
            <a:round/>
            <a:headEnd/>
            <a:tailEnd/>
          </a:ln>
        </xdr:spPr>
      </xdr:sp>
      <xdr:sp macro="" textlink="">
        <xdr:nvSpPr>
          <xdr:cNvPr id="80" name="Freeform 131"/>
          <xdr:cNvSpPr>
            <a:spLocks/>
          </xdr:cNvSpPr>
        </xdr:nvSpPr>
        <xdr:spPr bwMode="auto">
          <a:xfrm>
            <a:off x="212" y="833"/>
            <a:ext cx="7" cy="2"/>
          </a:xfrm>
          <a:custGeom>
            <a:avLst/>
            <a:gdLst>
              <a:gd name="T0" fmla="*/ 24 w 29"/>
              <a:gd name="T1" fmla="*/ 0 h 8"/>
              <a:gd name="T2" fmla="*/ 29 w 29"/>
              <a:gd name="T3" fmla="*/ 0 h 8"/>
              <a:gd name="T4" fmla="*/ 27 w 29"/>
              <a:gd name="T5" fmla="*/ 8 h 8"/>
              <a:gd name="T6" fmla="*/ 0 w 29"/>
              <a:gd name="T7" fmla="*/ 8 h 8"/>
              <a:gd name="T8" fmla="*/ 9 w 29"/>
              <a:gd name="T9" fmla="*/ 3 h 8"/>
              <a:gd name="T10" fmla="*/ 19 w 29"/>
              <a:gd name="T11" fmla="*/ 0 h 8"/>
              <a:gd name="T12" fmla="*/ 24 w 29"/>
              <a:gd name="T13" fmla="*/ 0 h 8"/>
            </a:gdLst>
            <a:ahLst/>
            <a:cxnLst>
              <a:cxn ang="0">
                <a:pos x="T0" y="T1"/>
              </a:cxn>
              <a:cxn ang="0">
                <a:pos x="T2" y="T3"/>
              </a:cxn>
              <a:cxn ang="0">
                <a:pos x="T4" y="T5"/>
              </a:cxn>
              <a:cxn ang="0">
                <a:pos x="T6" y="T7"/>
              </a:cxn>
              <a:cxn ang="0">
                <a:pos x="T8" y="T9"/>
              </a:cxn>
              <a:cxn ang="0">
                <a:pos x="T10" y="T11"/>
              </a:cxn>
              <a:cxn ang="0">
                <a:pos x="T12" y="T13"/>
              </a:cxn>
            </a:cxnLst>
            <a:rect l="0" t="0" r="r" b="b"/>
            <a:pathLst>
              <a:path w="29" h="8">
                <a:moveTo>
                  <a:pt x="24" y="0"/>
                </a:moveTo>
                <a:lnTo>
                  <a:pt x="29" y="0"/>
                </a:lnTo>
                <a:lnTo>
                  <a:pt x="27" y="8"/>
                </a:lnTo>
                <a:lnTo>
                  <a:pt x="0" y="8"/>
                </a:lnTo>
                <a:lnTo>
                  <a:pt x="9" y="3"/>
                </a:lnTo>
                <a:lnTo>
                  <a:pt x="19" y="0"/>
                </a:lnTo>
                <a:lnTo>
                  <a:pt x="24" y="0"/>
                </a:lnTo>
                <a:close/>
              </a:path>
            </a:pathLst>
          </a:custGeom>
          <a:solidFill>
            <a:schemeClr val="accent2"/>
          </a:solidFill>
          <a:ln w="0">
            <a:solidFill>
              <a:schemeClr val="accent2"/>
            </a:solidFill>
            <a:prstDash val="solid"/>
            <a:round/>
            <a:headEnd/>
            <a:tailEnd/>
          </a:ln>
        </xdr:spPr>
      </xdr:sp>
      <xdr:sp macro="" textlink="">
        <xdr:nvSpPr>
          <xdr:cNvPr id="81" name="Freeform 132"/>
          <xdr:cNvSpPr>
            <a:spLocks/>
          </xdr:cNvSpPr>
        </xdr:nvSpPr>
        <xdr:spPr bwMode="auto">
          <a:xfrm>
            <a:off x="734" y="833"/>
            <a:ext cx="6" cy="2"/>
          </a:xfrm>
          <a:custGeom>
            <a:avLst/>
            <a:gdLst>
              <a:gd name="T0" fmla="*/ 25 w 25"/>
              <a:gd name="T1" fmla="*/ 0 h 8"/>
              <a:gd name="T2" fmla="*/ 24 w 25"/>
              <a:gd name="T3" fmla="*/ 8 h 8"/>
              <a:gd name="T4" fmla="*/ 0 w 25"/>
              <a:gd name="T5" fmla="*/ 8 h 8"/>
              <a:gd name="T6" fmla="*/ 9 w 25"/>
              <a:gd name="T7" fmla="*/ 3 h 8"/>
              <a:gd name="T8" fmla="*/ 19 w 25"/>
              <a:gd name="T9" fmla="*/ 0 h 8"/>
              <a:gd name="T10" fmla="*/ 25 w 25"/>
              <a:gd name="T11" fmla="*/ 0 h 8"/>
            </a:gdLst>
            <a:ahLst/>
            <a:cxnLst>
              <a:cxn ang="0">
                <a:pos x="T0" y="T1"/>
              </a:cxn>
              <a:cxn ang="0">
                <a:pos x="T2" y="T3"/>
              </a:cxn>
              <a:cxn ang="0">
                <a:pos x="T4" y="T5"/>
              </a:cxn>
              <a:cxn ang="0">
                <a:pos x="T6" y="T7"/>
              </a:cxn>
              <a:cxn ang="0">
                <a:pos x="T8" y="T9"/>
              </a:cxn>
              <a:cxn ang="0">
                <a:pos x="T10" y="T11"/>
              </a:cxn>
            </a:cxnLst>
            <a:rect l="0" t="0" r="r" b="b"/>
            <a:pathLst>
              <a:path w="25" h="8">
                <a:moveTo>
                  <a:pt x="25" y="0"/>
                </a:moveTo>
                <a:lnTo>
                  <a:pt x="24" y="8"/>
                </a:lnTo>
                <a:lnTo>
                  <a:pt x="0" y="8"/>
                </a:lnTo>
                <a:lnTo>
                  <a:pt x="9" y="3"/>
                </a:lnTo>
                <a:lnTo>
                  <a:pt x="19" y="0"/>
                </a:lnTo>
                <a:lnTo>
                  <a:pt x="25" y="0"/>
                </a:lnTo>
                <a:close/>
              </a:path>
            </a:pathLst>
          </a:custGeom>
          <a:solidFill>
            <a:srgbClr val="FF8025"/>
          </a:solidFill>
          <a:ln w="0">
            <a:noFill/>
            <a:prstDash val="solid"/>
            <a:round/>
            <a:headEnd/>
            <a:tailEnd/>
          </a:ln>
        </xdr:spPr>
      </xdr:sp>
      <xdr:sp macro="" textlink="">
        <xdr:nvSpPr>
          <xdr:cNvPr id="82" name="Freeform 133"/>
          <xdr:cNvSpPr>
            <a:spLocks noEditPoints="1"/>
          </xdr:cNvSpPr>
        </xdr:nvSpPr>
        <xdr:spPr bwMode="auto">
          <a:xfrm>
            <a:off x="120" y="785"/>
            <a:ext cx="80" cy="50"/>
          </a:xfrm>
          <a:custGeom>
            <a:avLst/>
            <a:gdLst>
              <a:gd name="T0" fmla="*/ 144 w 319"/>
              <a:gd name="T1" fmla="*/ 19 h 201"/>
              <a:gd name="T2" fmla="*/ 125 w 319"/>
              <a:gd name="T3" fmla="*/ 38 h 201"/>
              <a:gd name="T4" fmla="*/ 126 w 319"/>
              <a:gd name="T5" fmla="*/ 66 h 201"/>
              <a:gd name="T6" fmla="*/ 145 w 319"/>
              <a:gd name="T7" fmla="*/ 84 h 201"/>
              <a:gd name="T8" fmla="*/ 172 w 319"/>
              <a:gd name="T9" fmla="*/ 84 h 201"/>
              <a:gd name="T10" fmla="*/ 191 w 319"/>
              <a:gd name="T11" fmla="*/ 65 h 201"/>
              <a:gd name="T12" fmla="*/ 190 w 319"/>
              <a:gd name="T13" fmla="*/ 37 h 201"/>
              <a:gd name="T14" fmla="*/ 171 w 319"/>
              <a:gd name="T15" fmla="*/ 19 h 201"/>
              <a:gd name="T16" fmla="*/ 1 w 319"/>
              <a:gd name="T17" fmla="*/ 0 h 201"/>
              <a:gd name="T18" fmla="*/ 307 w 319"/>
              <a:gd name="T19" fmla="*/ 19 h 201"/>
              <a:gd name="T20" fmla="*/ 288 w 319"/>
              <a:gd name="T21" fmla="*/ 49 h 201"/>
              <a:gd name="T22" fmla="*/ 308 w 319"/>
              <a:gd name="T23" fmla="*/ 80 h 201"/>
              <a:gd name="T24" fmla="*/ 319 w 319"/>
              <a:gd name="T25" fmla="*/ 122 h 201"/>
              <a:gd name="T26" fmla="*/ 319 w 319"/>
              <a:gd name="T27" fmla="*/ 136 h 201"/>
              <a:gd name="T28" fmla="*/ 319 w 319"/>
              <a:gd name="T29" fmla="*/ 141 h 201"/>
              <a:gd name="T30" fmla="*/ 316 w 319"/>
              <a:gd name="T31" fmla="*/ 144 h 201"/>
              <a:gd name="T32" fmla="*/ 310 w 319"/>
              <a:gd name="T33" fmla="*/ 148 h 201"/>
              <a:gd name="T34" fmla="*/ 279 w 319"/>
              <a:gd name="T35" fmla="*/ 161 h 201"/>
              <a:gd name="T36" fmla="*/ 243 w 319"/>
              <a:gd name="T37" fmla="*/ 166 h 201"/>
              <a:gd name="T38" fmla="*/ 216 w 319"/>
              <a:gd name="T39" fmla="*/ 184 h 201"/>
              <a:gd name="T40" fmla="*/ 191 w 319"/>
              <a:gd name="T41" fmla="*/ 201 h 201"/>
              <a:gd name="T42" fmla="*/ 189 w 319"/>
              <a:gd name="T43" fmla="*/ 196 h 201"/>
              <a:gd name="T44" fmla="*/ 191 w 319"/>
              <a:gd name="T45" fmla="*/ 169 h 201"/>
              <a:gd name="T46" fmla="*/ 191 w 319"/>
              <a:gd name="T47" fmla="*/ 161 h 201"/>
              <a:gd name="T48" fmla="*/ 190 w 319"/>
              <a:gd name="T49" fmla="*/ 145 h 201"/>
              <a:gd name="T50" fmla="*/ 181 w 319"/>
              <a:gd name="T51" fmla="*/ 134 h 201"/>
              <a:gd name="T52" fmla="*/ 167 w 319"/>
              <a:gd name="T53" fmla="*/ 138 h 201"/>
              <a:gd name="T54" fmla="*/ 156 w 319"/>
              <a:gd name="T55" fmla="*/ 145 h 201"/>
              <a:gd name="T56" fmla="*/ 132 w 319"/>
              <a:gd name="T57" fmla="*/ 167 h 201"/>
              <a:gd name="T58" fmla="*/ 113 w 319"/>
              <a:gd name="T59" fmla="*/ 199 h 201"/>
              <a:gd name="T60" fmla="*/ 96 w 319"/>
              <a:gd name="T61" fmla="*/ 166 h 201"/>
              <a:gd name="T62" fmla="*/ 59 w 319"/>
              <a:gd name="T63" fmla="*/ 168 h 201"/>
              <a:gd name="T64" fmla="*/ 19 w 319"/>
              <a:gd name="T65" fmla="*/ 158 h 201"/>
              <a:gd name="T66" fmla="*/ 0 w 319"/>
              <a:gd name="T67" fmla="*/ 143 h 201"/>
              <a:gd name="T68" fmla="*/ 0 w 319"/>
              <a:gd name="T69" fmla="*/ 126 h 201"/>
              <a:gd name="T70" fmla="*/ 7 w 319"/>
              <a:gd name="T71" fmla="*/ 93 h 201"/>
              <a:gd name="T72" fmla="*/ 18 w 319"/>
              <a:gd name="T73" fmla="*/ 82 h 201"/>
              <a:gd name="T74" fmla="*/ 35 w 319"/>
              <a:gd name="T75" fmla="*/ 80 h 201"/>
              <a:gd name="T76" fmla="*/ 49 w 319"/>
              <a:gd name="T77" fmla="*/ 65 h 201"/>
              <a:gd name="T78" fmla="*/ 49 w 319"/>
              <a:gd name="T79" fmla="*/ 42 h 201"/>
              <a:gd name="T80" fmla="*/ 35 w 319"/>
              <a:gd name="T81" fmla="*/ 28 h 201"/>
              <a:gd name="T82" fmla="*/ 17 w 319"/>
              <a:gd name="T83" fmla="*/ 26 h 201"/>
              <a:gd name="T84" fmla="*/ 5 w 319"/>
              <a:gd name="T85" fmla="*/ 15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Lst>
            <a:rect l="0" t="0" r="r" b="b"/>
            <a:pathLst>
              <a:path w="319" h="201">
                <a:moveTo>
                  <a:pt x="158" y="15"/>
                </a:moveTo>
                <a:lnTo>
                  <a:pt x="144" y="19"/>
                </a:lnTo>
                <a:lnTo>
                  <a:pt x="133" y="26"/>
                </a:lnTo>
                <a:lnTo>
                  <a:pt x="125" y="38"/>
                </a:lnTo>
                <a:lnTo>
                  <a:pt x="123" y="51"/>
                </a:lnTo>
                <a:lnTo>
                  <a:pt x="126" y="66"/>
                </a:lnTo>
                <a:lnTo>
                  <a:pt x="134" y="77"/>
                </a:lnTo>
                <a:lnTo>
                  <a:pt x="145" y="84"/>
                </a:lnTo>
                <a:lnTo>
                  <a:pt x="159" y="87"/>
                </a:lnTo>
                <a:lnTo>
                  <a:pt x="172" y="84"/>
                </a:lnTo>
                <a:lnTo>
                  <a:pt x="184" y="76"/>
                </a:lnTo>
                <a:lnTo>
                  <a:pt x="191" y="65"/>
                </a:lnTo>
                <a:lnTo>
                  <a:pt x="194" y="50"/>
                </a:lnTo>
                <a:lnTo>
                  <a:pt x="190" y="37"/>
                </a:lnTo>
                <a:lnTo>
                  <a:pt x="182" y="25"/>
                </a:lnTo>
                <a:lnTo>
                  <a:pt x="171" y="19"/>
                </a:lnTo>
                <a:lnTo>
                  <a:pt x="158" y="15"/>
                </a:lnTo>
                <a:close/>
                <a:moveTo>
                  <a:pt x="1" y="0"/>
                </a:moveTo>
                <a:lnTo>
                  <a:pt x="313" y="0"/>
                </a:lnTo>
                <a:lnTo>
                  <a:pt x="307" y="19"/>
                </a:lnTo>
                <a:lnTo>
                  <a:pt x="298" y="34"/>
                </a:lnTo>
                <a:lnTo>
                  <a:pt x="288" y="49"/>
                </a:lnTo>
                <a:lnTo>
                  <a:pt x="299" y="64"/>
                </a:lnTo>
                <a:lnTo>
                  <a:pt x="308" y="80"/>
                </a:lnTo>
                <a:lnTo>
                  <a:pt x="316" y="98"/>
                </a:lnTo>
                <a:lnTo>
                  <a:pt x="319" y="122"/>
                </a:lnTo>
                <a:lnTo>
                  <a:pt x="319" y="134"/>
                </a:lnTo>
                <a:lnTo>
                  <a:pt x="319" y="136"/>
                </a:lnTo>
                <a:lnTo>
                  <a:pt x="319" y="139"/>
                </a:lnTo>
                <a:lnTo>
                  <a:pt x="319" y="141"/>
                </a:lnTo>
                <a:lnTo>
                  <a:pt x="318" y="143"/>
                </a:lnTo>
                <a:lnTo>
                  <a:pt x="316" y="144"/>
                </a:lnTo>
                <a:lnTo>
                  <a:pt x="312" y="147"/>
                </a:lnTo>
                <a:lnTo>
                  <a:pt x="310" y="148"/>
                </a:lnTo>
                <a:lnTo>
                  <a:pt x="296" y="156"/>
                </a:lnTo>
                <a:lnTo>
                  <a:pt x="279" y="161"/>
                </a:lnTo>
                <a:lnTo>
                  <a:pt x="261" y="165"/>
                </a:lnTo>
                <a:lnTo>
                  <a:pt x="243" y="166"/>
                </a:lnTo>
                <a:lnTo>
                  <a:pt x="225" y="164"/>
                </a:lnTo>
                <a:lnTo>
                  <a:pt x="216" y="184"/>
                </a:lnTo>
                <a:lnTo>
                  <a:pt x="206" y="201"/>
                </a:lnTo>
                <a:lnTo>
                  <a:pt x="191" y="201"/>
                </a:lnTo>
                <a:lnTo>
                  <a:pt x="190" y="199"/>
                </a:lnTo>
                <a:lnTo>
                  <a:pt x="189" y="196"/>
                </a:lnTo>
                <a:lnTo>
                  <a:pt x="189" y="183"/>
                </a:lnTo>
                <a:lnTo>
                  <a:pt x="191" y="169"/>
                </a:lnTo>
                <a:lnTo>
                  <a:pt x="191" y="165"/>
                </a:lnTo>
                <a:lnTo>
                  <a:pt x="191" y="161"/>
                </a:lnTo>
                <a:lnTo>
                  <a:pt x="191" y="153"/>
                </a:lnTo>
                <a:lnTo>
                  <a:pt x="190" y="145"/>
                </a:lnTo>
                <a:lnTo>
                  <a:pt x="187" y="138"/>
                </a:lnTo>
                <a:lnTo>
                  <a:pt x="181" y="134"/>
                </a:lnTo>
                <a:lnTo>
                  <a:pt x="175" y="134"/>
                </a:lnTo>
                <a:lnTo>
                  <a:pt x="167" y="138"/>
                </a:lnTo>
                <a:lnTo>
                  <a:pt x="160" y="142"/>
                </a:lnTo>
                <a:lnTo>
                  <a:pt x="156" y="145"/>
                </a:lnTo>
                <a:lnTo>
                  <a:pt x="143" y="156"/>
                </a:lnTo>
                <a:lnTo>
                  <a:pt x="132" y="167"/>
                </a:lnTo>
                <a:lnTo>
                  <a:pt x="123" y="181"/>
                </a:lnTo>
                <a:lnTo>
                  <a:pt x="113" y="199"/>
                </a:lnTo>
                <a:lnTo>
                  <a:pt x="103" y="183"/>
                </a:lnTo>
                <a:lnTo>
                  <a:pt x="96" y="166"/>
                </a:lnTo>
                <a:lnTo>
                  <a:pt x="78" y="168"/>
                </a:lnTo>
                <a:lnTo>
                  <a:pt x="59" y="168"/>
                </a:lnTo>
                <a:lnTo>
                  <a:pt x="41" y="166"/>
                </a:lnTo>
                <a:lnTo>
                  <a:pt x="19" y="158"/>
                </a:lnTo>
                <a:lnTo>
                  <a:pt x="1" y="147"/>
                </a:lnTo>
                <a:lnTo>
                  <a:pt x="0" y="143"/>
                </a:lnTo>
                <a:lnTo>
                  <a:pt x="0" y="140"/>
                </a:lnTo>
                <a:lnTo>
                  <a:pt x="0" y="126"/>
                </a:lnTo>
                <a:lnTo>
                  <a:pt x="2" y="109"/>
                </a:lnTo>
                <a:lnTo>
                  <a:pt x="7" y="93"/>
                </a:lnTo>
                <a:lnTo>
                  <a:pt x="12" y="80"/>
                </a:lnTo>
                <a:lnTo>
                  <a:pt x="18" y="82"/>
                </a:lnTo>
                <a:lnTo>
                  <a:pt x="23" y="82"/>
                </a:lnTo>
                <a:lnTo>
                  <a:pt x="35" y="80"/>
                </a:lnTo>
                <a:lnTo>
                  <a:pt x="43" y="74"/>
                </a:lnTo>
                <a:lnTo>
                  <a:pt x="49" y="65"/>
                </a:lnTo>
                <a:lnTo>
                  <a:pt x="51" y="54"/>
                </a:lnTo>
                <a:lnTo>
                  <a:pt x="49" y="42"/>
                </a:lnTo>
                <a:lnTo>
                  <a:pt x="43" y="33"/>
                </a:lnTo>
                <a:lnTo>
                  <a:pt x="35" y="28"/>
                </a:lnTo>
                <a:lnTo>
                  <a:pt x="23" y="25"/>
                </a:lnTo>
                <a:lnTo>
                  <a:pt x="17" y="26"/>
                </a:lnTo>
                <a:lnTo>
                  <a:pt x="11" y="29"/>
                </a:lnTo>
                <a:lnTo>
                  <a:pt x="5" y="15"/>
                </a:lnTo>
                <a:lnTo>
                  <a:pt x="1" y="0"/>
                </a:lnTo>
                <a:close/>
              </a:path>
            </a:pathLst>
          </a:custGeom>
          <a:solidFill>
            <a:schemeClr val="accent4"/>
          </a:solidFill>
          <a:ln w="0">
            <a:solidFill>
              <a:schemeClr val="accent4"/>
            </a:solidFill>
            <a:prstDash val="solid"/>
            <a:round/>
            <a:headEnd/>
            <a:tailEnd/>
          </a:ln>
        </xdr:spPr>
      </xdr:sp>
      <xdr:sp macro="" textlink="">
        <xdr:nvSpPr>
          <xdr:cNvPr id="83" name="Freeform 134"/>
          <xdr:cNvSpPr>
            <a:spLocks noEditPoints="1"/>
          </xdr:cNvSpPr>
        </xdr:nvSpPr>
        <xdr:spPr bwMode="auto">
          <a:xfrm>
            <a:off x="508" y="785"/>
            <a:ext cx="69" cy="50"/>
          </a:xfrm>
          <a:custGeom>
            <a:avLst/>
            <a:gdLst>
              <a:gd name="T0" fmla="*/ 127 w 275"/>
              <a:gd name="T1" fmla="*/ 37 h 201"/>
              <a:gd name="T2" fmla="*/ 109 w 275"/>
              <a:gd name="T3" fmla="*/ 53 h 201"/>
              <a:gd name="T4" fmla="*/ 105 w 275"/>
              <a:gd name="T5" fmla="*/ 79 h 201"/>
              <a:gd name="T6" fmla="*/ 115 w 275"/>
              <a:gd name="T7" fmla="*/ 101 h 201"/>
              <a:gd name="T8" fmla="*/ 136 w 275"/>
              <a:gd name="T9" fmla="*/ 114 h 201"/>
              <a:gd name="T10" fmla="*/ 161 w 275"/>
              <a:gd name="T11" fmla="*/ 110 h 201"/>
              <a:gd name="T12" fmla="*/ 180 w 275"/>
              <a:gd name="T13" fmla="*/ 94 h 201"/>
              <a:gd name="T14" fmla="*/ 185 w 275"/>
              <a:gd name="T15" fmla="*/ 68 h 201"/>
              <a:gd name="T16" fmla="*/ 174 w 275"/>
              <a:gd name="T17" fmla="*/ 46 h 201"/>
              <a:gd name="T18" fmla="*/ 153 w 275"/>
              <a:gd name="T19" fmla="*/ 33 h 201"/>
              <a:gd name="T20" fmla="*/ 25 w 275"/>
              <a:gd name="T21" fmla="*/ 0 h 201"/>
              <a:gd name="T22" fmla="*/ 251 w 275"/>
              <a:gd name="T23" fmla="*/ 24 h 201"/>
              <a:gd name="T24" fmla="*/ 275 w 275"/>
              <a:gd name="T25" fmla="*/ 67 h 201"/>
              <a:gd name="T26" fmla="*/ 250 w 275"/>
              <a:gd name="T27" fmla="*/ 96 h 201"/>
              <a:gd name="T28" fmla="*/ 234 w 275"/>
              <a:gd name="T29" fmla="*/ 111 h 201"/>
              <a:gd name="T30" fmla="*/ 201 w 275"/>
              <a:gd name="T31" fmla="*/ 138 h 201"/>
              <a:gd name="T32" fmla="*/ 239 w 275"/>
              <a:gd name="T33" fmla="*/ 159 h 201"/>
              <a:gd name="T34" fmla="*/ 261 w 275"/>
              <a:gd name="T35" fmla="*/ 170 h 201"/>
              <a:gd name="T36" fmla="*/ 260 w 275"/>
              <a:gd name="T37" fmla="*/ 174 h 201"/>
              <a:gd name="T38" fmla="*/ 257 w 275"/>
              <a:gd name="T39" fmla="*/ 177 h 201"/>
              <a:gd name="T40" fmla="*/ 253 w 275"/>
              <a:gd name="T41" fmla="*/ 178 h 201"/>
              <a:gd name="T42" fmla="*/ 237 w 275"/>
              <a:gd name="T43" fmla="*/ 183 h 201"/>
              <a:gd name="T44" fmla="*/ 208 w 275"/>
              <a:gd name="T45" fmla="*/ 184 h 201"/>
              <a:gd name="T46" fmla="*/ 179 w 275"/>
              <a:gd name="T47" fmla="*/ 176 h 201"/>
              <a:gd name="T48" fmla="*/ 159 w 275"/>
              <a:gd name="T49" fmla="*/ 201 h 201"/>
              <a:gd name="T50" fmla="*/ 83 w 275"/>
              <a:gd name="T51" fmla="*/ 187 h 201"/>
              <a:gd name="T52" fmla="*/ 74 w 275"/>
              <a:gd name="T53" fmla="*/ 155 h 201"/>
              <a:gd name="T54" fmla="*/ 43 w 275"/>
              <a:gd name="T55" fmla="*/ 150 h 201"/>
              <a:gd name="T56" fmla="*/ 13 w 275"/>
              <a:gd name="T57" fmla="*/ 134 h 201"/>
              <a:gd name="T58" fmla="*/ 0 w 275"/>
              <a:gd name="T59" fmla="*/ 119 h 201"/>
              <a:gd name="T60" fmla="*/ 2 w 275"/>
              <a:gd name="T61" fmla="*/ 106 h 201"/>
              <a:gd name="T62" fmla="*/ 18 w 275"/>
              <a:gd name="T63" fmla="*/ 73 h 201"/>
              <a:gd name="T64" fmla="*/ 39 w 275"/>
              <a:gd name="T65" fmla="*/ 51 h 201"/>
              <a:gd name="T66" fmla="*/ 28 w 275"/>
              <a:gd name="T67" fmla="*/ 20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75" h="201">
                <a:moveTo>
                  <a:pt x="140" y="33"/>
                </a:moveTo>
                <a:lnTo>
                  <a:pt x="127" y="37"/>
                </a:lnTo>
                <a:lnTo>
                  <a:pt x="117" y="43"/>
                </a:lnTo>
                <a:lnTo>
                  <a:pt x="109" y="53"/>
                </a:lnTo>
                <a:lnTo>
                  <a:pt x="105" y="65"/>
                </a:lnTo>
                <a:lnTo>
                  <a:pt x="105" y="79"/>
                </a:lnTo>
                <a:lnTo>
                  <a:pt x="108" y="90"/>
                </a:lnTo>
                <a:lnTo>
                  <a:pt x="115" y="101"/>
                </a:lnTo>
                <a:lnTo>
                  <a:pt x="124" y="109"/>
                </a:lnTo>
                <a:lnTo>
                  <a:pt x="136" y="114"/>
                </a:lnTo>
                <a:lnTo>
                  <a:pt x="150" y="114"/>
                </a:lnTo>
                <a:lnTo>
                  <a:pt x="161" y="110"/>
                </a:lnTo>
                <a:lnTo>
                  <a:pt x="172" y="104"/>
                </a:lnTo>
                <a:lnTo>
                  <a:pt x="180" y="94"/>
                </a:lnTo>
                <a:lnTo>
                  <a:pt x="185" y="82"/>
                </a:lnTo>
                <a:lnTo>
                  <a:pt x="185" y="68"/>
                </a:lnTo>
                <a:lnTo>
                  <a:pt x="181" y="56"/>
                </a:lnTo>
                <a:lnTo>
                  <a:pt x="174" y="46"/>
                </a:lnTo>
                <a:lnTo>
                  <a:pt x="164" y="38"/>
                </a:lnTo>
                <a:lnTo>
                  <a:pt x="153" y="33"/>
                </a:lnTo>
                <a:lnTo>
                  <a:pt x="140" y="33"/>
                </a:lnTo>
                <a:close/>
                <a:moveTo>
                  <a:pt x="25" y="0"/>
                </a:moveTo>
                <a:lnTo>
                  <a:pt x="246" y="0"/>
                </a:lnTo>
                <a:lnTo>
                  <a:pt x="251" y="24"/>
                </a:lnTo>
                <a:lnTo>
                  <a:pt x="261" y="47"/>
                </a:lnTo>
                <a:lnTo>
                  <a:pt x="275" y="67"/>
                </a:lnTo>
                <a:lnTo>
                  <a:pt x="264" y="83"/>
                </a:lnTo>
                <a:lnTo>
                  <a:pt x="250" y="96"/>
                </a:lnTo>
                <a:lnTo>
                  <a:pt x="254" y="104"/>
                </a:lnTo>
                <a:lnTo>
                  <a:pt x="234" y="111"/>
                </a:lnTo>
                <a:lnTo>
                  <a:pt x="216" y="123"/>
                </a:lnTo>
                <a:lnTo>
                  <a:pt x="201" y="138"/>
                </a:lnTo>
                <a:lnTo>
                  <a:pt x="219" y="151"/>
                </a:lnTo>
                <a:lnTo>
                  <a:pt x="239" y="159"/>
                </a:lnTo>
                <a:lnTo>
                  <a:pt x="262" y="164"/>
                </a:lnTo>
                <a:lnTo>
                  <a:pt x="261" y="170"/>
                </a:lnTo>
                <a:lnTo>
                  <a:pt x="260" y="172"/>
                </a:lnTo>
                <a:lnTo>
                  <a:pt x="260" y="174"/>
                </a:lnTo>
                <a:lnTo>
                  <a:pt x="259" y="176"/>
                </a:lnTo>
                <a:lnTo>
                  <a:pt x="257" y="177"/>
                </a:lnTo>
                <a:lnTo>
                  <a:pt x="255" y="178"/>
                </a:lnTo>
                <a:lnTo>
                  <a:pt x="253" y="178"/>
                </a:lnTo>
                <a:lnTo>
                  <a:pt x="251" y="179"/>
                </a:lnTo>
                <a:lnTo>
                  <a:pt x="237" y="183"/>
                </a:lnTo>
                <a:lnTo>
                  <a:pt x="223" y="185"/>
                </a:lnTo>
                <a:lnTo>
                  <a:pt x="208" y="184"/>
                </a:lnTo>
                <a:lnTo>
                  <a:pt x="192" y="182"/>
                </a:lnTo>
                <a:lnTo>
                  <a:pt x="179" y="176"/>
                </a:lnTo>
                <a:lnTo>
                  <a:pt x="170" y="190"/>
                </a:lnTo>
                <a:lnTo>
                  <a:pt x="159" y="201"/>
                </a:lnTo>
                <a:lnTo>
                  <a:pt x="90" y="201"/>
                </a:lnTo>
                <a:lnTo>
                  <a:pt x="83" y="187"/>
                </a:lnTo>
                <a:lnTo>
                  <a:pt x="77" y="172"/>
                </a:lnTo>
                <a:lnTo>
                  <a:pt x="74" y="155"/>
                </a:lnTo>
                <a:lnTo>
                  <a:pt x="58" y="153"/>
                </a:lnTo>
                <a:lnTo>
                  <a:pt x="43" y="150"/>
                </a:lnTo>
                <a:lnTo>
                  <a:pt x="30" y="145"/>
                </a:lnTo>
                <a:lnTo>
                  <a:pt x="13" y="134"/>
                </a:lnTo>
                <a:lnTo>
                  <a:pt x="0" y="122"/>
                </a:lnTo>
                <a:lnTo>
                  <a:pt x="0" y="119"/>
                </a:lnTo>
                <a:lnTo>
                  <a:pt x="1" y="116"/>
                </a:lnTo>
                <a:lnTo>
                  <a:pt x="2" y="106"/>
                </a:lnTo>
                <a:lnTo>
                  <a:pt x="9" y="88"/>
                </a:lnTo>
                <a:lnTo>
                  <a:pt x="18" y="73"/>
                </a:lnTo>
                <a:lnTo>
                  <a:pt x="28" y="62"/>
                </a:lnTo>
                <a:lnTo>
                  <a:pt x="39" y="51"/>
                </a:lnTo>
                <a:lnTo>
                  <a:pt x="32" y="37"/>
                </a:lnTo>
                <a:lnTo>
                  <a:pt x="28" y="20"/>
                </a:lnTo>
                <a:lnTo>
                  <a:pt x="25" y="0"/>
                </a:lnTo>
                <a:close/>
              </a:path>
            </a:pathLst>
          </a:custGeom>
          <a:solidFill>
            <a:schemeClr val="accent6"/>
          </a:solidFill>
          <a:ln w="0">
            <a:solidFill>
              <a:schemeClr val="accent6"/>
            </a:solidFill>
            <a:prstDash val="solid"/>
            <a:round/>
            <a:headEnd/>
            <a:tailEnd/>
          </a:ln>
        </xdr:spPr>
      </xdr:sp>
      <xdr:sp macro="" textlink="">
        <xdr:nvSpPr>
          <xdr:cNvPr id="84" name="Freeform 135"/>
          <xdr:cNvSpPr>
            <a:spLocks/>
          </xdr:cNvSpPr>
        </xdr:nvSpPr>
        <xdr:spPr bwMode="auto">
          <a:xfrm>
            <a:off x="25" y="785"/>
            <a:ext cx="102" cy="32"/>
          </a:xfrm>
          <a:custGeom>
            <a:avLst/>
            <a:gdLst>
              <a:gd name="T0" fmla="*/ 167 w 409"/>
              <a:gd name="T1" fmla="*/ 0 h 128"/>
              <a:gd name="T2" fmla="*/ 224 w 409"/>
              <a:gd name="T3" fmla="*/ 0 h 128"/>
              <a:gd name="T4" fmla="*/ 226 w 409"/>
              <a:gd name="T5" fmla="*/ 6 h 128"/>
              <a:gd name="T6" fmla="*/ 227 w 409"/>
              <a:gd name="T7" fmla="*/ 14 h 128"/>
              <a:gd name="T8" fmla="*/ 225 w 409"/>
              <a:gd name="T9" fmla="*/ 24 h 128"/>
              <a:gd name="T10" fmla="*/ 220 w 409"/>
              <a:gd name="T11" fmla="*/ 34 h 128"/>
              <a:gd name="T12" fmla="*/ 212 w 409"/>
              <a:gd name="T13" fmla="*/ 41 h 128"/>
              <a:gd name="T14" fmla="*/ 379 w 409"/>
              <a:gd name="T15" fmla="*/ 41 h 128"/>
              <a:gd name="T16" fmla="*/ 382 w 409"/>
              <a:gd name="T17" fmla="*/ 36 h 128"/>
              <a:gd name="T18" fmla="*/ 387 w 409"/>
              <a:gd name="T19" fmla="*/ 31 h 128"/>
              <a:gd name="T20" fmla="*/ 391 w 409"/>
              <a:gd name="T21" fmla="*/ 29 h 128"/>
              <a:gd name="T22" fmla="*/ 400 w 409"/>
              <a:gd name="T23" fmla="*/ 41 h 128"/>
              <a:gd name="T24" fmla="*/ 409 w 409"/>
              <a:gd name="T25" fmla="*/ 54 h 128"/>
              <a:gd name="T26" fmla="*/ 400 w 409"/>
              <a:gd name="T27" fmla="*/ 66 h 128"/>
              <a:gd name="T28" fmla="*/ 392 w 409"/>
              <a:gd name="T29" fmla="*/ 80 h 128"/>
              <a:gd name="T30" fmla="*/ 387 w 409"/>
              <a:gd name="T31" fmla="*/ 76 h 128"/>
              <a:gd name="T32" fmla="*/ 382 w 409"/>
              <a:gd name="T33" fmla="*/ 72 h 128"/>
              <a:gd name="T34" fmla="*/ 379 w 409"/>
              <a:gd name="T35" fmla="*/ 66 h 128"/>
              <a:gd name="T36" fmla="*/ 315 w 409"/>
              <a:gd name="T37" fmla="*/ 66 h 128"/>
              <a:gd name="T38" fmla="*/ 322 w 409"/>
              <a:gd name="T39" fmla="*/ 76 h 128"/>
              <a:gd name="T40" fmla="*/ 325 w 409"/>
              <a:gd name="T41" fmla="*/ 89 h 128"/>
              <a:gd name="T42" fmla="*/ 322 w 409"/>
              <a:gd name="T43" fmla="*/ 101 h 128"/>
              <a:gd name="T44" fmla="*/ 315 w 409"/>
              <a:gd name="T45" fmla="*/ 111 h 128"/>
              <a:gd name="T46" fmla="*/ 306 w 409"/>
              <a:gd name="T47" fmla="*/ 118 h 128"/>
              <a:gd name="T48" fmla="*/ 294 w 409"/>
              <a:gd name="T49" fmla="*/ 121 h 128"/>
              <a:gd name="T50" fmla="*/ 281 w 409"/>
              <a:gd name="T51" fmla="*/ 118 h 128"/>
              <a:gd name="T52" fmla="*/ 271 w 409"/>
              <a:gd name="T53" fmla="*/ 111 h 128"/>
              <a:gd name="T54" fmla="*/ 264 w 409"/>
              <a:gd name="T55" fmla="*/ 101 h 128"/>
              <a:gd name="T56" fmla="*/ 261 w 409"/>
              <a:gd name="T57" fmla="*/ 89 h 128"/>
              <a:gd name="T58" fmla="*/ 264 w 409"/>
              <a:gd name="T59" fmla="*/ 76 h 128"/>
              <a:gd name="T60" fmla="*/ 271 w 409"/>
              <a:gd name="T61" fmla="*/ 66 h 128"/>
              <a:gd name="T62" fmla="*/ 125 w 409"/>
              <a:gd name="T63" fmla="*/ 66 h 128"/>
              <a:gd name="T64" fmla="*/ 134 w 409"/>
              <a:gd name="T65" fmla="*/ 79 h 128"/>
              <a:gd name="T66" fmla="*/ 138 w 409"/>
              <a:gd name="T67" fmla="*/ 92 h 128"/>
              <a:gd name="T68" fmla="*/ 134 w 409"/>
              <a:gd name="T69" fmla="*/ 107 h 128"/>
              <a:gd name="T70" fmla="*/ 127 w 409"/>
              <a:gd name="T71" fmla="*/ 117 h 128"/>
              <a:gd name="T72" fmla="*/ 115 w 409"/>
              <a:gd name="T73" fmla="*/ 125 h 128"/>
              <a:gd name="T74" fmla="*/ 102 w 409"/>
              <a:gd name="T75" fmla="*/ 128 h 128"/>
              <a:gd name="T76" fmla="*/ 89 w 409"/>
              <a:gd name="T77" fmla="*/ 125 h 128"/>
              <a:gd name="T78" fmla="*/ 77 w 409"/>
              <a:gd name="T79" fmla="*/ 117 h 128"/>
              <a:gd name="T80" fmla="*/ 71 w 409"/>
              <a:gd name="T81" fmla="*/ 107 h 128"/>
              <a:gd name="T82" fmla="*/ 67 w 409"/>
              <a:gd name="T83" fmla="*/ 92 h 128"/>
              <a:gd name="T84" fmla="*/ 71 w 409"/>
              <a:gd name="T85" fmla="*/ 79 h 128"/>
              <a:gd name="T86" fmla="*/ 80 w 409"/>
              <a:gd name="T87" fmla="*/ 66 h 128"/>
              <a:gd name="T88" fmla="*/ 0 w 409"/>
              <a:gd name="T89" fmla="*/ 66 h 128"/>
              <a:gd name="T90" fmla="*/ 0 w 409"/>
              <a:gd name="T91" fmla="*/ 54 h 128"/>
              <a:gd name="T92" fmla="*/ 3 w 409"/>
              <a:gd name="T93" fmla="*/ 37 h 128"/>
              <a:gd name="T94" fmla="*/ 11 w 409"/>
              <a:gd name="T95" fmla="*/ 21 h 128"/>
              <a:gd name="T96" fmla="*/ 24 w 409"/>
              <a:gd name="T97" fmla="*/ 9 h 128"/>
              <a:gd name="T98" fmla="*/ 39 w 409"/>
              <a:gd name="T99" fmla="*/ 2 h 128"/>
              <a:gd name="T100" fmla="*/ 40 w 409"/>
              <a:gd name="T101" fmla="*/ 6 h 128"/>
              <a:gd name="T102" fmla="*/ 40 w 409"/>
              <a:gd name="T103" fmla="*/ 9 h 128"/>
              <a:gd name="T104" fmla="*/ 38 w 409"/>
              <a:gd name="T105" fmla="*/ 23 h 128"/>
              <a:gd name="T106" fmla="*/ 31 w 409"/>
              <a:gd name="T107" fmla="*/ 33 h 128"/>
              <a:gd name="T108" fmla="*/ 21 w 409"/>
              <a:gd name="T109" fmla="*/ 41 h 128"/>
              <a:gd name="T110" fmla="*/ 180 w 409"/>
              <a:gd name="T111" fmla="*/ 41 h 128"/>
              <a:gd name="T112" fmla="*/ 171 w 409"/>
              <a:gd name="T113" fmla="*/ 34 h 128"/>
              <a:gd name="T114" fmla="*/ 166 w 409"/>
              <a:gd name="T115" fmla="*/ 24 h 128"/>
              <a:gd name="T116" fmla="*/ 165 w 409"/>
              <a:gd name="T117" fmla="*/ 14 h 128"/>
              <a:gd name="T118" fmla="*/ 165 w 409"/>
              <a:gd name="T119" fmla="*/ 6 h 128"/>
              <a:gd name="T120" fmla="*/ 167 w 409"/>
              <a:gd name="T121" fmla="*/ 0 h 1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409" h="128">
                <a:moveTo>
                  <a:pt x="167" y="0"/>
                </a:moveTo>
                <a:lnTo>
                  <a:pt x="224" y="0"/>
                </a:lnTo>
                <a:lnTo>
                  <a:pt x="226" y="6"/>
                </a:lnTo>
                <a:lnTo>
                  <a:pt x="227" y="14"/>
                </a:lnTo>
                <a:lnTo>
                  <a:pt x="225" y="24"/>
                </a:lnTo>
                <a:lnTo>
                  <a:pt x="220" y="34"/>
                </a:lnTo>
                <a:lnTo>
                  <a:pt x="212" y="41"/>
                </a:lnTo>
                <a:lnTo>
                  <a:pt x="379" y="41"/>
                </a:lnTo>
                <a:lnTo>
                  <a:pt x="382" y="36"/>
                </a:lnTo>
                <a:lnTo>
                  <a:pt x="387" y="31"/>
                </a:lnTo>
                <a:lnTo>
                  <a:pt x="391" y="29"/>
                </a:lnTo>
                <a:lnTo>
                  <a:pt x="400" y="41"/>
                </a:lnTo>
                <a:lnTo>
                  <a:pt x="409" y="54"/>
                </a:lnTo>
                <a:lnTo>
                  <a:pt x="400" y="66"/>
                </a:lnTo>
                <a:lnTo>
                  <a:pt x="392" y="80"/>
                </a:lnTo>
                <a:lnTo>
                  <a:pt x="387" y="76"/>
                </a:lnTo>
                <a:lnTo>
                  <a:pt x="382" y="72"/>
                </a:lnTo>
                <a:lnTo>
                  <a:pt x="379" y="66"/>
                </a:lnTo>
                <a:lnTo>
                  <a:pt x="315" y="66"/>
                </a:lnTo>
                <a:lnTo>
                  <a:pt x="322" y="76"/>
                </a:lnTo>
                <a:lnTo>
                  <a:pt x="325" y="89"/>
                </a:lnTo>
                <a:lnTo>
                  <a:pt x="322" y="101"/>
                </a:lnTo>
                <a:lnTo>
                  <a:pt x="315" y="111"/>
                </a:lnTo>
                <a:lnTo>
                  <a:pt x="306" y="118"/>
                </a:lnTo>
                <a:lnTo>
                  <a:pt x="294" y="121"/>
                </a:lnTo>
                <a:lnTo>
                  <a:pt x="281" y="118"/>
                </a:lnTo>
                <a:lnTo>
                  <a:pt x="271" y="111"/>
                </a:lnTo>
                <a:lnTo>
                  <a:pt x="264" y="101"/>
                </a:lnTo>
                <a:lnTo>
                  <a:pt x="261" y="89"/>
                </a:lnTo>
                <a:lnTo>
                  <a:pt x="264" y="76"/>
                </a:lnTo>
                <a:lnTo>
                  <a:pt x="271" y="66"/>
                </a:lnTo>
                <a:lnTo>
                  <a:pt x="125" y="66"/>
                </a:lnTo>
                <a:lnTo>
                  <a:pt x="134" y="79"/>
                </a:lnTo>
                <a:lnTo>
                  <a:pt x="138" y="92"/>
                </a:lnTo>
                <a:lnTo>
                  <a:pt x="134" y="107"/>
                </a:lnTo>
                <a:lnTo>
                  <a:pt x="127" y="117"/>
                </a:lnTo>
                <a:lnTo>
                  <a:pt x="115" y="125"/>
                </a:lnTo>
                <a:lnTo>
                  <a:pt x="102" y="128"/>
                </a:lnTo>
                <a:lnTo>
                  <a:pt x="89" y="125"/>
                </a:lnTo>
                <a:lnTo>
                  <a:pt x="77" y="117"/>
                </a:lnTo>
                <a:lnTo>
                  <a:pt x="71" y="107"/>
                </a:lnTo>
                <a:lnTo>
                  <a:pt x="67" y="92"/>
                </a:lnTo>
                <a:lnTo>
                  <a:pt x="71" y="79"/>
                </a:lnTo>
                <a:lnTo>
                  <a:pt x="80" y="66"/>
                </a:lnTo>
                <a:lnTo>
                  <a:pt x="0" y="66"/>
                </a:lnTo>
                <a:lnTo>
                  <a:pt x="0" y="54"/>
                </a:lnTo>
                <a:lnTo>
                  <a:pt x="3" y="37"/>
                </a:lnTo>
                <a:lnTo>
                  <a:pt x="11" y="21"/>
                </a:lnTo>
                <a:lnTo>
                  <a:pt x="24" y="9"/>
                </a:lnTo>
                <a:lnTo>
                  <a:pt x="39" y="2"/>
                </a:lnTo>
                <a:lnTo>
                  <a:pt x="40" y="6"/>
                </a:lnTo>
                <a:lnTo>
                  <a:pt x="40" y="9"/>
                </a:lnTo>
                <a:lnTo>
                  <a:pt x="38" y="23"/>
                </a:lnTo>
                <a:lnTo>
                  <a:pt x="31" y="33"/>
                </a:lnTo>
                <a:lnTo>
                  <a:pt x="21" y="41"/>
                </a:lnTo>
                <a:lnTo>
                  <a:pt x="180" y="41"/>
                </a:lnTo>
                <a:lnTo>
                  <a:pt x="171" y="34"/>
                </a:lnTo>
                <a:lnTo>
                  <a:pt x="166" y="24"/>
                </a:lnTo>
                <a:lnTo>
                  <a:pt x="165" y="14"/>
                </a:lnTo>
                <a:lnTo>
                  <a:pt x="165" y="6"/>
                </a:lnTo>
                <a:lnTo>
                  <a:pt x="167" y="0"/>
                </a:lnTo>
                <a:close/>
              </a:path>
            </a:pathLst>
          </a:custGeom>
          <a:solidFill>
            <a:schemeClr val="accent3"/>
          </a:solidFill>
          <a:ln w="0">
            <a:solidFill>
              <a:schemeClr val="accent3"/>
            </a:solidFill>
            <a:prstDash val="solid"/>
            <a:round/>
            <a:headEnd/>
            <a:tailEnd/>
          </a:ln>
        </xdr:spPr>
      </xdr:sp>
      <xdr:sp macro="" textlink="">
        <xdr:nvSpPr>
          <xdr:cNvPr id="85" name="Freeform 136"/>
          <xdr:cNvSpPr>
            <a:spLocks/>
          </xdr:cNvSpPr>
        </xdr:nvSpPr>
        <xdr:spPr bwMode="auto">
          <a:xfrm>
            <a:off x="123" y="791"/>
            <a:ext cx="10" cy="14"/>
          </a:xfrm>
          <a:custGeom>
            <a:avLst/>
            <a:gdLst>
              <a:gd name="T0" fmla="*/ 12 w 40"/>
              <a:gd name="T1" fmla="*/ 0 h 57"/>
              <a:gd name="T2" fmla="*/ 24 w 40"/>
              <a:gd name="T3" fmla="*/ 3 h 57"/>
              <a:gd name="T4" fmla="*/ 32 w 40"/>
              <a:gd name="T5" fmla="*/ 8 h 57"/>
              <a:gd name="T6" fmla="*/ 38 w 40"/>
              <a:gd name="T7" fmla="*/ 17 h 57"/>
              <a:gd name="T8" fmla="*/ 40 w 40"/>
              <a:gd name="T9" fmla="*/ 29 h 57"/>
              <a:gd name="T10" fmla="*/ 38 w 40"/>
              <a:gd name="T11" fmla="*/ 40 h 57"/>
              <a:gd name="T12" fmla="*/ 32 w 40"/>
              <a:gd name="T13" fmla="*/ 49 h 57"/>
              <a:gd name="T14" fmla="*/ 24 w 40"/>
              <a:gd name="T15" fmla="*/ 55 h 57"/>
              <a:gd name="T16" fmla="*/ 12 w 40"/>
              <a:gd name="T17" fmla="*/ 57 h 57"/>
              <a:gd name="T18" fmla="*/ 7 w 40"/>
              <a:gd name="T19" fmla="*/ 57 h 57"/>
              <a:gd name="T20" fmla="*/ 1 w 40"/>
              <a:gd name="T21" fmla="*/ 55 h 57"/>
              <a:gd name="T22" fmla="*/ 9 w 40"/>
              <a:gd name="T23" fmla="*/ 41 h 57"/>
              <a:gd name="T24" fmla="*/ 18 w 40"/>
              <a:gd name="T25" fmla="*/ 29 h 57"/>
              <a:gd name="T26" fmla="*/ 9 w 40"/>
              <a:gd name="T27" fmla="*/ 16 h 57"/>
              <a:gd name="T28" fmla="*/ 0 w 40"/>
              <a:gd name="T29" fmla="*/ 4 h 57"/>
              <a:gd name="T30" fmla="*/ 6 w 40"/>
              <a:gd name="T31" fmla="*/ 1 h 57"/>
              <a:gd name="T32" fmla="*/ 12 w 40"/>
              <a:gd name="T33" fmla="*/ 0 h 5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0" h="57">
                <a:moveTo>
                  <a:pt x="12" y="0"/>
                </a:moveTo>
                <a:lnTo>
                  <a:pt x="24" y="3"/>
                </a:lnTo>
                <a:lnTo>
                  <a:pt x="32" y="8"/>
                </a:lnTo>
                <a:lnTo>
                  <a:pt x="38" y="17"/>
                </a:lnTo>
                <a:lnTo>
                  <a:pt x="40" y="29"/>
                </a:lnTo>
                <a:lnTo>
                  <a:pt x="38" y="40"/>
                </a:lnTo>
                <a:lnTo>
                  <a:pt x="32" y="49"/>
                </a:lnTo>
                <a:lnTo>
                  <a:pt x="24" y="55"/>
                </a:lnTo>
                <a:lnTo>
                  <a:pt x="12" y="57"/>
                </a:lnTo>
                <a:lnTo>
                  <a:pt x="7" y="57"/>
                </a:lnTo>
                <a:lnTo>
                  <a:pt x="1" y="55"/>
                </a:lnTo>
                <a:lnTo>
                  <a:pt x="9" y="41"/>
                </a:lnTo>
                <a:lnTo>
                  <a:pt x="18" y="29"/>
                </a:lnTo>
                <a:lnTo>
                  <a:pt x="9" y="16"/>
                </a:lnTo>
                <a:lnTo>
                  <a:pt x="0" y="4"/>
                </a:lnTo>
                <a:lnTo>
                  <a:pt x="6" y="1"/>
                </a:lnTo>
                <a:lnTo>
                  <a:pt x="12" y="0"/>
                </a:lnTo>
                <a:close/>
              </a:path>
            </a:pathLst>
          </a:custGeom>
          <a:solidFill>
            <a:schemeClr val="accent3">
              <a:lumMod val="75000"/>
            </a:schemeClr>
          </a:solidFill>
          <a:ln w="0">
            <a:solidFill>
              <a:schemeClr val="accent3">
                <a:lumMod val="75000"/>
              </a:schemeClr>
            </a:solidFill>
            <a:prstDash val="solid"/>
            <a:round/>
            <a:headEnd/>
            <a:tailEnd/>
          </a:ln>
        </xdr:spPr>
      </xdr:sp>
      <xdr:sp macro="" textlink="">
        <xdr:nvSpPr>
          <xdr:cNvPr id="86" name="Freeform 137"/>
          <xdr:cNvSpPr>
            <a:spLocks/>
          </xdr:cNvSpPr>
        </xdr:nvSpPr>
        <xdr:spPr bwMode="auto">
          <a:xfrm>
            <a:off x="207" y="785"/>
            <a:ext cx="105" cy="50"/>
          </a:xfrm>
          <a:custGeom>
            <a:avLst/>
            <a:gdLst>
              <a:gd name="T0" fmla="*/ 375 w 418"/>
              <a:gd name="T1" fmla="*/ 0 h 201"/>
              <a:gd name="T2" fmla="*/ 366 w 418"/>
              <a:gd name="T3" fmla="*/ 25 h 201"/>
              <a:gd name="T4" fmla="*/ 354 w 418"/>
              <a:gd name="T5" fmla="*/ 39 h 201"/>
              <a:gd name="T6" fmla="*/ 377 w 418"/>
              <a:gd name="T7" fmla="*/ 42 h 201"/>
              <a:gd name="T8" fmla="*/ 407 w 418"/>
              <a:gd name="T9" fmla="*/ 64 h 201"/>
              <a:gd name="T10" fmla="*/ 418 w 418"/>
              <a:gd name="T11" fmla="*/ 100 h 201"/>
              <a:gd name="T12" fmla="*/ 408 w 418"/>
              <a:gd name="T13" fmla="*/ 135 h 201"/>
              <a:gd name="T14" fmla="*/ 397 w 418"/>
              <a:gd name="T15" fmla="*/ 82 h 201"/>
              <a:gd name="T16" fmla="*/ 383 w 418"/>
              <a:gd name="T17" fmla="*/ 156 h 201"/>
              <a:gd name="T18" fmla="*/ 359 w 418"/>
              <a:gd name="T19" fmla="*/ 161 h 201"/>
              <a:gd name="T20" fmla="*/ 358 w 418"/>
              <a:gd name="T21" fmla="*/ 164 h 201"/>
              <a:gd name="T22" fmla="*/ 367 w 418"/>
              <a:gd name="T23" fmla="*/ 175 h 201"/>
              <a:gd name="T24" fmla="*/ 376 w 418"/>
              <a:gd name="T25" fmla="*/ 201 h 201"/>
              <a:gd name="T26" fmla="*/ 245 w 418"/>
              <a:gd name="T27" fmla="*/ 177 h 201"/>
              <a:gd name="T28" fmla="*/ 274 w 418"/>
              <a:gd name="T29" fmla="*/ 153 h 201"/>
              <a:gd name="T30" fmla="*/ 291 w 418"/>
              <a:gd name="T31" fmla="*/ 121 h 201"/>
              <a:gd name="T32" fmla="*/ 289 w 418"/>
              <a:gd name="T33" fmla="*/ 77 h 201"/>
              <a:gd name="T34" fmla="*/ 268 w 418"/>
              <a:gd name="T35" fmla="*/ 41 h 201"/>
              <a:gd name="T36" fmla="*/ 231 w 418"/>
              <a:gd name="T37" fmla="*/ 20 h 201"/>
              <a:gd name="T38" fmla="*/ 187 w 418"/>
              <a:gd name="T39" fmla="*/ 20 h 201"/>
              <a:gd name="T40" fmla="*/ 150 w 418"/>
              <a:gd name="T41" fmla="*/ 41 h 201"/>
              <a:gd name="T42" fmla="*/ 129 w 418"/>
              <a:gd name="T43" fmla="*/ 79 h 201"/>
              <a:gd name="T44" fmla="*/ 129 w 418"/>
              <a:gd name="T45" fmla="*/ 124 h 201"/>
              <a:gd name="T46" fmla="*/ 150 w 418"/>
              <a:gd name="T47" fmla="*/ 160 h 201"/>
              <a:gd name="T48" fmla="*/ 187 w 418"/>
              <a:gd name="T49" fmla="*/ 182 h 201"/>
              <a:gd name="T50" fmla="*/ 230 w 418"/>
              <a:gd name="T51" fmla="*/ 183 h 201"/>
              <a:gd name="T52" fmla="*/ 70 w 418"/>
              <a:gd name="T53" fmla="*/ 201 h 201"/>
              <a:gd name="T54" fmla="*/ 56 w 418"/>
              <a:gd name="T55" fmla="*/ 195 h 201"/>
              <a:gd name="T56" fmla="*/ 52 w 418"/>
              <a:gd name="T57" fmla="*/ 178 h 201"/>
              <a:gd name="T58" fmla="*/ 62 w 418"/>
              <a:gd name="T59" fmla="*/ 165 h 201"/>
              <a:gd name="T60" fmla="*/ 61 w 418"/>
              <a:gd name="T61" fmla="*/ 162 h 201"/>
              <a:gd name="T62" fmla="*/ 25 w 418"/>
              <a:gd name="T63" fmla="*/ 151 h 201"/>
              <a:gd name="T64" fmla="*/ 4 w 418"/>
              <a:gd name="T65" fmla="*/ 121 h 201"/>
              <a:gd name="T66" fmla="*/ 4 w 418"/>
              <a:gd name="T67" fmla="*/ 82 h 201"/>
              <a:gd name="T68" fmla="*/ 25 w 418"/>
              <a:gd name="T69" fmla="*/ 53 h 201"/>
              <a:gd name="T70" fmla="*/ 61 w 418"/>
              <a:gd name="T71" fmla="*/ 40 h 201"/>
              <a:gd name="T72" fmla="*/ 61 w 418"/>
              <a:gd name="T73" fmla="*/ 38 h 201"/>
              <a:gd name="T74" fmla="*/ 46 w 418"/>
              <a:gd name="T75" fmla="*/ 14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418" h="201">
                <a:moveTo>
                  <a:pt x="44" y="0"/>
                </a:moveTo>
                <a:lnTo>
                  <a:pt x="375" y="0"/>
                </a:lnTo>
                <a:lnTo>
                  <a:pt x="371" y="13"/>
                </a:lnTo>
                <a:lnTo>
                  <a:pt x="366" y="25"/>
                </a:lnTo>
                <a:lnTo>
                  <a:pt x="358" y="37"/>
                </a:lnTo>
                <a:lnTo>
                  <a:pt x="354" y="39"/>
                </a:lnTo>
                <a:lnTo>
                  <a:pt x="358" y="39"/>
                </a:lnTo>
                <a:lnTo>
                  <a:pt x="377" y="42"/>
                </a:lnTo>
                <a:lnTo>
                  <a:pt x="394" y="50"/>
                </a:lnTo>
                <a:lnTo>
                  <a:pt x="407" y="64"/>
                </a:lnTo>
                <a:lnTo>
                  <a:pt x="416" y="81"/>
                </a:lnTo>
                <a:lnTo>
                  <a:pt x="418" y="100"/>
                </a:lnTo>
                <a:lnTo>
                  <a:pt x="416" y="118"/>
                </a:lnTo>
                <a:lnTo>
                  <a:pt x="408" y="135"/>
                </a:lnTo>
                <a:lnTo>
                  <a:pt x="404" y="107"/>
                </a:lnTo>
                <a:lnTo>
                  <a:pt x="397" y="82"/>
                </a:lnTo>
                <a:lnTo>
                  <a:pt x="389" y="116"/>
                </a:lnTo>
                <a:lnTo>
                  <a:pt x="383" y="156"/>
                </a:lnTo>
                <a:lnTo>
                  <a:pt x="371" y="160"/>
                </a:lnTo>
                <a:lnTo>
                  <a:pt x="359" y="161"/>
                </a:lnTo>
                <a:lnTo>
                  <a:pt x="355" y="161"/>
                </a:lnTo>
                <a:lnTo>
                  <a:pt x="358" y="164"/>
                </a:lnTo>
                <a:lnTo>
                  <a:pt x="358" y="164"/>
                </a:lnTo>
                <a:lnTo>
                  <a:pt x="367" y="175"/>
                </a:lnTo>
                <a:lnTo>
                  <a:pt x="372" y="187"/>
                </a:lnTo>
                <a:lnTo>
                  <a:pt x="376" y="201"/>
                </a:lnTo>
                <a:lnTo>
                  <a:pt x="278" y="201"/>
                </a:lnTo>
                <a:lnTo>
                  <a:pt x="245" y="177"/>
                </a:lnTo>
                <a:lnTo>
                  <a:pt x="261" y="167"/>
                </a:lnTo>
                <a:lnTo>
                  <a:pt x="274" y="153"/>
                </a:lnTo>
                <a:lnTo>
                  <a:pt x="284" y="138"/>
                </a:lnTo>
                <a:lnTo>
                  <a:pt x="291" y="121"/>
                </a:lnTo>
                <a:lnTo>
                  <a:pt x="293" y="100"/>
                </a:lnTo>
                <a:lnTo>
                  <a:pt x="289" y="77"/>
                </a:lnTo>
                <a:lnTo>
                  <a:pt x="282" y="58"/>
                </a:lnTo>
                <a:lnTo>
                  <a:pt x="268" y="41"/>
                </a:lnTo>
                <a:lnTo>
                  <a:pt x="251" y="28"/>
                </a:lnTo>
                <a:lnTo>
                  <a:pt x="231" y="20"/>
                </a:lnTo>
                <a:lnTo>
                  <a:pt x="209" y="16"/>
                </a:lnTo>
                <a:lnTo>
                  <a:pt x="187" y="20"/>
                </a:lnTo>
                <a:lnTo>
                  <a:pt x="167" y="28"/>
                </a:lnTo>
                <a:lnTo>
                  <a:pt x="150" y="41"/>
                </a:lnTo>
                <a:lnTo>
                  <a:pt x="137" y="58"/>
                </a:lnTo>
                <a:lnTo>
                  <a:pt x="129" y="79"/>
                </a:lnTo>
                <a:lnTo>
                  <a:pt x="126" y="101"/>
                </a:lnTo>
                <a:lnTo>
                  <a:pt x="129" y="124"/>
                </a:lnTo>
                <a:lnTo>
                  <a:pt x="138" y="143"/>
                </a:lnTo>
                <a:lnTo>
                  <a:pt x="150" y="160"/>
                </a:lnTo>
                <a:lnTo>
                  <a:pt x="167" y="174"/>
                </a:lnTo>
                <a:lnTo>
                  <a:pt x="187" y="182"/>
                </a:lnTo>
                <a:lnTo>
                  <a:pt x="210" y="185"/>
                </a:lnTo>
                <a:lnTo>
                  <a:pt x="230" y="183"/>
                </a:lnTo>
                <a:lnTo>
                  <a:pt x="242" y="201"/>
                </a:lnTo>
                <a:lnTo>
                  <a:pt x="70" y="201"/>
                </a:lnTo>
                <a:lnTo>
                  <a:pt x="66" y="200"/>
                </a:lnTo>
                <a:lnTo>
                  <a:pt x="56" y="195"/>
                </a:lnTo>
                <a:lnTo>
                  <a:pt x="46" y="193"/>
                </a:lnTo>
                <a:lnTo>
                  <a:pt x="52" y="178"/>
                </a:lnTo>
                <a:lnTo>
                  <a:pt x="62" y="165"/>
                </a:lnTo>
                <a:lnTo>
                  <a:pt x="62" y="165"/>
                </a:lnTo>
                <a:lnTo>
                  <a:pt x="64" y="162"/>
                </a:lnTo>
                <a:lnTo>
                  <a:pt x="61" y="162"/>
                </a:lnTo>
                <a:lnTo>
                  <a:pt x="42" y="159"/>
                </a:lnTo>
                <a:lnTo>
                  <a:pt x="25" y="151"/>
                </a:lnTo>
                <a:lnTo>
                  <a:pt x="12" y="138"/>
                </a:lnTo>
                <a:lnTo>
                  <a:pt x="4" y="121"/>
                </a:lnTo>
                <a:lnTo>
                  <a:pt x="0" y="101"/>
                </a:lnTo>
                <a:lnTo>
                  <a:pt x="4" y="82"/>
                </a:lnTo>
                <a:lnTo>
                  <a:pt x="12" y="65"/>
                </a:lnTo>
                <a:lnTo>
                  <a:pt x="25" y="53"/>
                </a:lnTo>
                <a:lnTo>
                  <a:pt x="42" y="43"/>
                </a:lnTo>
                <a:lnTo>
                  <a:pt x="61" y="40"/>
                </a:lnTo>
                <a:lnTo>
                  <a:pt x="63" y="40"/>
                </a:lnTo>
                <a:lnTo>
                  <a:pt x="61" y="38"/>
                </a:lnTo>
                <a:lnTo>
                  <a:pt x="52" y="26"/>
                </a:lnTo>
                <a:lnTo>
                  <a:pt x="46" y="14"/>
                </a:lnTo>
                <a:lnTo>
                  <a:pt x="44" y="0"/>
                </a:lnTo>
                <a:close/>
              </a:path>
            </a:pathLst>
          </a:custGeom>
          <a:solidFill>
            <a:schemeClr val="accent1"/>
          </a:solidFill>
          <a:ln w="0">
            <a:solidFill>
              <a:schemeClr val="accent1"/>
            </a:solidFill>
            <a:prstDash val="solid"/>
            <a:round/>
            <a:headEnd/>
            <a:tailEnd/>
          </a:ln>
        </xdr:spPr>
      </xdr:sp>
      <xdr:sp macro="" textlink="">
        <xdr:nvSpPr>
          <xdr:cNvPr id="87" name="Freeform 138"/>
          <xdr:cNvSpPr>
            <a:spLocks/>
          </xdr:cNvSpPr>
        </xdr:nvSpPr>
        <xdr:spPr bwMode="auto">
          <a:xfrm>
            <a:off x="303" y="805"/>
            <a:ext cx="6" cy="19"/>
          </a:xfrm>
          <a:custGeom>
            <a:avLst/>
            <a:gdLst>
              <a:gd name="T0" fmla="*/ 14 w 25"/>
              <a:gd name="T1" fmla="*/ 0 h 74"/>
              <a:gd name="T2" fmla="*/ 21 w 25"/>
              <a:gd name="T3" fmla="*/ 25 h 74"/>
              <a:gd name="T4" fmla="*/ 25 w 25"/>
              <a:gd name="T5" fmla="*/ 53 h 74"/>
              <a:gd name="T6" fmla="*/ 14 w 25"/>
              <a:gd name="T7" fmla="*/ 65 h 74"/>
              <a:gd name="T8" fmla="*/ 0 w 25"/>
              <a:gd name="T9" fmla="*/ 74 h 74"/>
              <a:gd name="T10" fmla="*/ 6 w 25"/>
              <a:gd name="T11" fmla="*/ 34 h 74"/>
              <a:gd name="T12" fmla="*/ 14 w 25"/>
              <a:gd name="T13" fmla="*/ 0 h 74"/>
            </a:gdLst>
            <a:ahLst/>
            <a:cxnLst>
              <a:cxn ang="0">
                <a:pos x="T0" y="T1"/>
              </a:cxn>
              <a:cxn ang="0">
                <a:pos x="T2" y="T3"/>
              </a:cxn>
              <a:cxn ang="0">
                <a:pos x="T4" y="T5"/>
              </a:cxn>
              <a:cxn ang="0">
                <a:pos x="T6" y="T7"/>
              </a:cxn>
              <a:cxn ang="0">
                <a:pos x="T8" y="T9"/>
              </a:cxn>
              <a:cxn ang="0">
                <a:pos x="T10" y="T11"/>
              </a:cxn>
              <a:cxn ang="0">
                <a:pos x="T12" y="T13"/>
              </a:cxn>
            </a:cxnLst>
            <a:rect l="0" t="0" r="r" b="b"/>
            <a:pathLst>
              <a:path w="25" h="74">
                <a:moveTo>
                  <a:pt x="14" y="0"/>
                </a:moveTo>
                <a:lnTo>
                  <a:pt x="21" y="25"/>
                </a:lnTo>
                <a:lnTo>
                  <a:pt x="25" y="53"/>
                </a:lnTo>
                <a:lnTo>
                  <a:pt x="14" y="65"/>
                </a:lnTo>
                <a:lnTo>
                  <a:pt x="0" y="74"/>
                </a:lnTo>
                <a:lnTo>
                  <a:pt x="6" y="34"/>
                </a:lnTo>
                <a:lnTo>
                  <a:pt x="14"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88" name="Freeform 139"/>
          <xdr:cNvSpPr>
            <a:spLocks/>
          </xdr:cNvSpPr>
        </xdr:nvSpPr>
        <xdr:spPr bwMode="auto">
          <a:xfrm>
            <a:off x="265" y="829"/>
            <a:ext cx="12" cy="6"/>
          </a:xfrm>
          <a:custGeom>
            <a:avLst/>
            <a:gdLst>
              <a:gd name="T0" fmla="*/ 15 w 48"/>
              <a:gd name="T1" fmla="*/ 0 h 24"/>
              <a:gd name="T2" fmla="*/ 48 w 48"/>
              <a:gd name="T3" fmla="*/ 24 h 24"/>
              <a:gd name="T4" fmla="*/ 12 w 48"/>
              <a:gd name="T5" fmla="*/ 24 h 24"/>
              <a:gd name="T6" fmla="*/ 0 w 48"/>
              <a:gd name="T7" fmla="*/ 6 h 24"/>
              <a:gd name="T8" fmla="*/ 8 w 48"/>
              <a:gd name="T9" fmla="*/ 4 h 24"/>
              <a:gd name="T10" fmla="*/ 15 w 48"/>
              <a:gd name="T11" fmla="*/ 0 h 24"/>
            </a:gdLst>
            <a:ahLst/>
            <a:cxnLst>
              <a:cxn ang="0">
                <a:pos x="T0" y="T1"/>
              </a:cxn>
              <a:cxn ang="0">
                <a:pos x="T2" y="T3"/>
              </a:cxn>
              <a:cxn ang="0">
                <a:pos x="T4" y="T5"/>
              </a:cxn>
              <a:cxn ang="0">
                <a:pos x="T6" y="T7"/>
              </a:cxn>
              <a:cxn ang="0">
                <a:pos x="T8" y="T9"/>
              </a:cxn>
              <a:cxn ang="0">
                <a:pos x="T10" y="T11"/>
              </a:cxn>
            </a:cxnLst>
            <a:rect l="0" t="0" r="r" b="b"/>
            <a:pathLst>
              <a:path w="48" h="24">
                <a:moveTo>
                  <a:pt x="15" y="0"/>
                </a:moveTo>
                <a:lnTo>
                  <a:pt x="48" y="24"/>
                </a:lnTo>
                <a:lnTo>
                  <a:pt x="12" y="24"/>
                </a:lnTo>
                <a:lnTo>
                  <a:pt x="0" y="6"/>
                </a:lnTo>
                <a:lnTo>
                  <a:pt x="8" y="4"/>
                </a:lnTo>
                <a:lnTo>
                  <a:pt x="15"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89" name="Freeform 140"/>
          <xdr:cNvSpPr>
            <a:spLocks/>
          </xdr:cNvSpPr>
        </xdr:nvSpPr>
        <xdr:spPr bwMode="auto">
          <a:xfrm>
            <a:off x="218" y="833"/>
            <a:ext cx="7" cy="2"/>
          </a:xfrm>
          <a:custGeom>
            <a:avLst/>
            <a:gdLst>
              <a:gd name="T0" fmla="*/ 2 w 26"/>
              <a:gd name="T1" fmla="*/ 0 h 8"/>
              <a:gd name="T2" fmla="*/ 12 w 26"/>
              <a:gd name="T3" fmla="*/ 2 h 8"/>
              <a:gd name="T4" fmla="*/ 22 w 26"/>
              <a:gd name="T5" fmla="*/ 7 h 8"/>
              <a:gd name="T6" fmla="*/ 26 w 26"/>
              <a:gd name="T7" fmla="*/ 8 h 8"/>
              <a:gd name="T8" fmla="*/ 0 w 26"/>
              <a:gd name="T9" fmla="*/ 8 h 8"/>
              <a:gd name="T10" fmla="*/ 2 w 26"/>
              <a:gd name="T11" fmla="*/ 0 h 8"/>
            </a:gdLst>
            <a:ahLst/>
            <a:cxnLst>
              <a:cxn ang="0">
                <a:pos x="T0" y="T1"/>
              </a:cxn>
              <a:cxn ang="0">
                <a:pos x="T2" y="T3"/>
              </a:cxn>
              <a:cxn ang="0">
                <a:pos x="T4" y="T5"/>
              </a:cxn>
              <a:cxn ang="0">
                <a:pos x="T6" y="T7"/>
              </a:cxn>
              <a:cxn ang="0">
                <a:pos x="T8" y="T9"/>
              </a:cxn>
              <a:cxn ang="0">
                <a:pos x="T10" y="T11"/>
              </a:cxn>
            </a:cxnLst>
            <a:rect l="0" t="0" r="r" b="b"/>
            <a:pathLst>
              <a:path w="26" h="8">
                <a:moveTo>
                  <a:pt x="2" y="0"/>
                </a:moveTo>
                <a:lnTo>
                  <a:pt x="12" y="2"/>
                </a:lnTo>
                <a:lnTo>
                  <a:pt x="22" y="7"/>
                </a:lnTo>
                <a:lnTo>
                  <a:pt x="26" y="8"/>
                </a:lnTo>
                <a:lnTo>
                  <a:pt x="0" y="8"/>
                </a:lnTo>
                <a:lnTo>
                  <a:pt x="2" y="0"/>
                </a:lnTo>
                <a:close/>
              </a:path>
            </a:pathLst>
          </a:custGeom>
          <a:solidFill>
            <a:schemeClr val="accent2">
              <a:lumMod val="75000"/>
            </a:schemeClr>
          </a:solidFill>
          <a:ln w="0">
            <a:solidFill>
              <a:schemeClr val="accent2">
                <a:lumMod val="75000"/>
              </a:schemeClr>
            </a:solidFill>
            <a:prstDash val="solid"/>
            <a:round/>
            <a:headEnd/>
            <a:tailEnd/>
          </a:ln>
        </xdr:spPr>
      </xdr:sp>
      <xdr:sp macro="" textlink="">
        <xdr:nvSpPr>
          <xdr:cNvPr id="90" name="Freeform 141"/>
          <xdr:cNvSpPr>
            <a:spLocks noEditPoints="1"/>
          </xdr:cNvSpPr>
        </xdr:nvSpPr>
        <xdr:spPr bwMode="auto">
          <a:xfrm>
            <a:off x="371" y="791"/>
            <a:ext cx="56" cy="44"/>
          </a:xfrm>
          <a:custGeom>
            <a:avLst/>
            <a:gdLst>
              <a:gd name="T0" fmla="*/ 100 w 222"/>
              <a:gd name="T1" fmla="*/ 86 h 178"/>
              <a:gd name="T2" fmla="*/ 84 w 222"/>
              <a:gd name="T3" fmla="*/ 102 h 178"/>
              <a:gd name="T4" fmla="*/ 85 w 222"/>
              <a:gd name="T5" fmla="*/ 124 h 178"/>
              <a:gd name="T6" fmla="*/ 101 w 222"/>
              <a:gd name="T7" fmla="*/ 138 h 178"/>
              <a:gd name="T8" fmla="*/ 122 w 222"/>
              <a:gd name="T9" fmla="*/ 138 h 178"/>
              <a:gd name="T10" fmla="*/ 138 w 222"/>
              <a:gd name="T11" fmla="*/ 122 h 178"/>
              <a:gd name="T12" fmla="*/ 137 w 222"/>
              <a:gd name="T13" fmla="*/ 100 h 178"/>
              <a:gd name="T14" fmla="*/ 121 w 222"/>
              <a:gd name="T15" fmla="*/ 85 h 178"/>
              <a:gd name="T16" fmla="*/ 139 w 222"/>
              <a:gd name="T17" fmla="*/ 0 h 178"/>
              <a:gd name="T18" fmla="*/ 163 w 222"/>
              <a:gd name="T19" fmla="*/ 9 h 178"/>
              <a:gd name="T20" fmla="*/ 174 w 222"/>
              <a:gd name="T21" fmla="*/ 32 h 178"/>
              <a:gd name="T22" fmla="*/ 171 w 222"/>
              <a:gd name="T23" fmla="*/ 48 h 178"/>
              <a:gd name="T24" fmla="*/ 186 w 222"/>
              <a:gd name="T25" fmla="*/ 43 h 178"/>
              <a:gd name="T26" fmla="*/ 209 w 222"/>
              <a:gd name="T27" fmla="*/ 52 h 178"/>
              <a:gd name="T28" fmla="*/ 221 w 222"/>
              <a:gd name="T29" fmla="*/ 77 h 178"/>
              <a:gd name="T30" fmla="*/ 212 w 222"/>
              <a:gd name="T31" fmla="*/ 101 h 178"/>
              <a:gd name="T32" fmla="*/ 198 w 222"/>
              <a:gd name="T33" fmla="*/ 109 h 178"/>
              <a:gd name="T34" fmla="*/ 212 w 222"/>
              <a:gd name="T35" fmla="*/ 117 h 178"/>
              <a:gd name="T36" fmla="*/ 222 w 222"/>
              <a:gd name="T37" fmla="*/ 141 h 178"/>
              <a:gd name="T38" fmla="*/ 213 w 222"/>
              <a:gd name="T39" fmla="*/ 166 h 178"/>
              <a:gd name="T40" fmla="*/ 189 w 222"/>
              <a:gd name="T41" fmla="*/ 176 h 178"/>
              <a:gd name="T42" fmla="*/ 175 w 222"/>
              <a:gd name="T43" fmla="*/ 172 h 178"/>
              <a:gd name="T44" fmla="*/ 176 w 222"/>
              <a:gd name="T45" fmla="*/ 175 h 178"/>
              <a:gd name="T46" fmla="*/ 50 w 222"/>
              <a:gd name="T47" fmla="*/ 178 h 178"/>
              <a:gd name="T48" fmla="*/ 50 w 222"/>
              <a:gd name="T49" fmla="*/ 177 h 178"/>
              <a:gd name="T50" fmla="*/ 47 w 222"/>
              <a:gd name="T51" fmla="*/ 178 h 178"/>
              <a:gd name="T52" fmla="*/ 23 w 222"/>
              <a:gd name="T53" fmla="*/ 178 h 178"/>
              <a:gd name="T54" fmla="*/ 4 w 222"/>
              <a:gd name="T55" fmla="*/ 161 h 178"/>
              <a:gd name="T56" fmla="*/ 4 w 222"/>
              <a:gd name="T57" fmla="*/ 135 h 178"/>
              <a:gd name="T58" fmla="*/ 11 w 222"/>
              <a:gd name="T59" fmla="*/ 124 h 178"/>
              <a:gd name="T60" fmla="*/ 21 w 222"/>
              <a:gd name="T61" fmla="*/ 116 h 178"/>
              <a:gd name="T62" fmla="*/ 21 w 222"/>
              <a:gd name="T63" fmla="*/ 115 h 178"/>
              <a:gd name="T64" fmla="*/ 3 w 222"/>
              <a:gd name="T65" fmla="*/ 99 h 178"/>
              <a:gd name="T66" fmla="*/ 0 w 222"/>
              <a:gd name="T67" fmla="*/ 75 h 178"/>
              <a:gd name="T68" fmla="*/ 27 w 222"/>
              <a:gd name="T69" fmla="*/ 90 h 178"/>
              <a:gd name="T70" fmla="*/ 75 w 222"/>
              <a:gd name="T71" fmla="*/ 99 h 178"/>
              <a:gd name="T72" fmla="*/ 54 w 222"/>
              <a:gd name="T73" fmla="*/ 62 h 178"/>
              <a:gd name="T74" fmla="*/ 45 w 222"/>
              <a:gd name="T75" fmla="*/ 50 h 178"/>
              <a:gd name="T76" fmla="*/ 46 w 222"/>
              <a:gd name="T77" fmla="*/ 50 h 178"/>
              <a:gd name="T78" fmla="*/ 45 w 222"/>
              <a:gd name="T79" fmla="*/ 24 h 178"/>
              <a:gd name="T80" fmla="*/ 53 w 222"/>
              <a:gd name="T81" fmla="*/ 13 h 178"/>
              <a:gd name="T82" fmla="*/ 76 w 222"/>
              <a:gd name="T83" fmla="*/ 1 h 178"/>
              <a:gd name="T84" fmla="*/ 100 w 222"/>
              <a:gd name="T85" fmla="*/ 10 h 178"/>
              <a:gd name="T86" fmla="*/ 107 w 222"/>
              <a:gd name="T87" fmla="*/ 22 h 178"/>
              <a:gd name="T88" fmla="*/ 109 w 222"/>
              <a:gd name="T89" fmla="*/ 22 h 178"/>
              <a:gd name="T90" fmla="*/ 126 w 222"/>
              <a:gd name="T91" fmla="*/ 2 h 1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222" h="178">
                <a:moveTo>
                  <a:pt x="110" y="83"/>
                </a:moveTo>
                <a:lnTo>
                  <a:pt x="100" y="86"/>
                </a:lnTo>
                <a:lnTo>
                  <a:pt x="91" y="92"/>
                </a:lnTo>
                <a:lnTo>
                  <a:pt x="84" y="102"/>
                </a:lnTo>
                <a:lnTo>
                  <a:pt x="83" y="113"/>
                </a:lnTo>
                <a:lnTo>
                  <a:pt x="85" y="124"/>
                </a:lnTo>
                <a:lnTo>
                  <a:pt x="92" y="133"/>
                </a:lnTo>
                <a:lnTo>
                  <a:pt x="101" y="138"/>
                </a:lnTo>
                <a:lnTo>
                  <a:pt x="112" y="141"/>
                </a:lnTo>
                <a:lnTo>
                  <a:pt x="122" y="138"/>
                </a:lnTo>
                <a:lnTo>
                  <a:pt x="131" y="132"/>
                </a:lnTo>
                <a:lnTo>
                  <a:pt x="138" y="122"/>
                </a:lnTo>
                <a:lnTo>
                  <a:pt x="139" y="111"/>
                </a:lnTo>
                <a:lnTo>
                  <a:pt x="137" y="100"/>
                </a:lnTo>
                <a:lnTo>
                  <a:pt x="130" y="91"/>
                </a:lnTo>
                <a:lnTo>
                  <a:pt x="121" y="85"/>
                </a:lnTo>
                <a:lnTo>
                  <a:pt x="110" y="83"/>
                </a:lnTo>
                <a:close/>
                <a:moveTo>
                  <a:pt x="139" y="0"/>
                </a:moveTo>
                <a:lnTo>
                  <a:pt x="152" y="1"/>
                </a:lnTo>
                <a:lnTo>
                  <a:pt x="163" y="9"/>
                </a:lnTo>
                <a:lnTo>
                  <a:pt x="171" y="19"/>
                </a:lnTo>
                <a:lnTo>
                  <a:pt x="174" y="32"/>
                </a:lnTo>
                <a:lnTo>
                  <a:pt x="171" y="45"/>
                </a:lnTo>
                <a:lnTo>
                  <a:pt x="171" y="48"/>
                </a:lnTo>
                <a:lnTo>
                  <a:pt x="172" y="47"/>
                </a:lnTo>
                <a:lnTo>
                  <a:pt x="186" y="43"/>
                </a:lnTo>
                <a:lnTo>
                  <a:pt x="198" y="45"/>
                </a:lnTo>
                <a:lnTo>
                  <a:pt x="209" y="52"/>
                </a:lnTo>
                <a:lnTo>
                  <a:pt x="217" y="64"/>
                </a:lnTo>
                <a:lnTo>
                  <a:pt x="221" y="77"/>
                </a:lnTo>
                <a:lnTo>
                  <a:pt x="218" y="90"/>
                </a:lnTo>
                <a:lnTo>
                  <a:pt x="212" y="101"/>
                </a:lnTo>
                <a:lnTo>
                  <a:pt x="200" y="109"/>
                </a:lnTo>
                <a:lnTo>
                  <a:pt x="198" y="109"/>
                </a:lnTo>
                <a:lnTo>
                  <a:pt x="200" y="110"/>
                </a:lnTo>
                <a:lnTo>
                  <a:pt x="212" y="117"/>
                </a:lnTo>
                <a:lnTo>
                  <a:pt x="219" y="127"/>
                </a:lnTo>
                <a:lnTo>
                  <a:pt x="222" y="141"/>
                </a:lnTo>
                <a:lnTo>
                  <a:pt x="219" y="154"/>
                </a:lnTo>
                <a:lnTo>
                  <a:pt x="213" y="166"/>
                </a:lnTo>
                <a:lnTo>
                  <a:pt x="203" y="172"/>
                </a:lnTo>
                <a:lnTo>
                  <a:pt x="189" y="176"/>
                </a:lnTo>
                <a:lnTo>
                  <a:pt x="177" y="173"/>
                </a:lnTo>
                <a:lnTo>
                  <a:pt x="175" y="172"/>
                </a:lnTo>
                <a:lnTo>
                  <a:pt x="176" y="175"/>
                </a:lnTo>
                <a:lnTo>
                  <a:pt x="176" y="175"/>
                </a:lnTo>
                <a:lnTo>
                  <a:pt x="177" y="178"/>
                </a:lnTo>
                <a:lnTo>
                  <a:pt x="50" y="178"/>
                </a:lnTo>
                <a:lnTo>
                  <a:pt x="50" y="178"/>
                </a:lnTo>
                <a:lnTo>
                  <a:pt x="50" y="177"/>
                </a:lnTo>
                <a:lnTo>
                  <a:pt x="49" y="178"/>
                </a:lnTo>
                <a:lnTo>
                  <a:pt x="47" y="178"/>
                </a:lnTo>
                <a:lnTo>
                  <a:pt x="25" y="178"/>
                </a:lnTo>
                <a:lnTo>
                  <a:pt x="23" y="178"/>
                </a:lnTo>
                <a:lnTo>
                  <a:pt x="12" y="171"/>
                </a:lnTo>
                <a:lnTo>
                  <a:pt x="4" y="161"/>
                </a:lnTo>
                <a:lnTo>
                  <a:pt x="2" y="147"/>
                </a:lnTo>
                <a:lnTo>
                  <a:pt x="4" y="135"/>
                </a:lnTo>
                <a:lnTo>
                  <a:pt x="4" y="135"/>
                </a:lnTo>
                <a:lnTo>
                  <a:pt x="11" y="124"/>
                </a:lnTo>
                <a:lnTo>
                  <a:pt x="21" y="116"/>
                </a:lnTo>
                <a:lnTo>
                  <a:pt x="21" y="116"/>
                </a:lnTo>
                <a:lnTo>
                  <a:pt x="23" y="115"/>
                </a:lnTo>
                <a:lnTo>
                  <a:pt x="21" y="115"/>
                </a:lnTo>
                <a:lnTo>
                  <a:pt x="11" y="108"/>
                </a:lnTo>
                <a:lnTo>
                  <a:pt x="3" y="99"/>
                </a:lnTo>
                <a:lnTo>
                  <a:pt x="0" y="87"/>
                </a:lnTo>
                <a:lnTo>
                  <a:pt x="0" y="75"/>
                </a:lnTo>
                <a:lnTo>
                  <a:pt x="7" y="79"/>
                </a:lnTo>
                <a:lnTo>
                  <a:pt x="27" y="90"/>
                </a:lnTo>
                <a:lnTo>
                  <a:pt x="49" y="96"/>
                </a:lnTo>
                <a:lnTo>
                  <a:pt x="75" y="99"/>
                </a:lnTo>
                <a:lnTo>
                  <a:pt x="65" y="78"/>
                </a:lnTo>
                <a:lnTo>
                  <a:pt x="54" y="62"/>
                </a:lnTo>
                <a:lnTo>
                  <a:pt x="40" y="49"/>
                </a:lnTo>
                <a:lnTo>
                  <a:pt x="45" y="50"/>
                </a:lnTo>
                <a:lnTo>
                  <a:pt x="47" y="51"/>
                </a:lnTo>
                <a:lnTo>
                  <a:pt x="46" y="50"/>
                </a:lnTo>
                <a:lnTo>
                  <a:pt x="44" y="36"/>
                </a:lnTo>
                <a:lnTo>
                  <a:pt x="45" y="24"/>
                </a:lnTo>
                <a:lnTo>
                  <a:pt x="45" y="24"/>
                </a:lnTo>
                <a:lnTo>
                  <a:pt x="53" y="13"/>
                </a:lnTo>
                <a:lnTo>
                  <a:pt x="63" y="5"/>
                </a:lnTo>
                <a:lnTo>
                  <a:pt x="76" y="1"/>
                </a:lnTo>
                <a:lnTo>
                  <a:pt x="88" y="3"/>
                </a:lnTo>
                <a:lnTo>
                  <a:pt x="100" y="10"/>
                </a:lnTo>
                <a:lnTo>
                  <a:pt x="107" y="22"/>
                </a:lnTo>
                <a:lnTo>
                  <a:pt x="107" y="22"/>
                </a:lnTo>
                <a:lnTo>
                  <a:pt x="109" y="23"/>
                </a:lnTo>
                <a:lnTo>
                  <a:pt x="109" y="22"/>
                </a:lnTo>
                <a:lnTo>
                  <a:pt x="115" y="10"/>
                </a:lnTo>
                <a:lnTo>
                  <a:pt x="126" y="2"/>
                </a:lnTo>
                <a:lnTo>
                  <a:pt x="139" y="0"/>
                </a:lnTo>
                <a:close/>
              </a:path>
            </a:pathLst>
          </a:custGeom>
          <a:solidFill>
            <a:schemeClr val="accent4"/>
          </a:solidFill>
          <a:ln w="0">
            <a:solidFill>
              <a:schemeClr val="accent4"/>
            </a:solidFill>
            <a:prstDash val="solid"/>
            <a:round/>
            <a:headEnd/>
            <a:tailEnd/>
          </a:ln>
        </xdr:spPr>
      </xdr:sp>
      <xdr:sp macro="" textlink="">
        <xdr:nvSpPr>
          <xdr:cNvPr id="91" name="Freeform 142"/>
          <xdr:cNvSpPr>
            <a:spLocks/>
          </xdr:cNvSpPr>
        </xdr:nvSpPr>
        <xdr:spPr bwMode="auto">
          <a:xfrm>
            <a:off x="371" y="803"/>
            <a:ext cx="19" cy="12"/>
          </a:xfrm>
          <a:custGeom>
            <a:avLst/>
            <a:gdLst>
              <a:gd name="T0" fmla="*/ 28 w 75"/>
              <a:gd name="T1" fmla="*/ 0 h 50"/>
              <a:gd name="T2" fmla="*/ 40 w 75"/>
              <a:gd name="T3" fmla="*/ 0 h 50"/>
              <a:gd name="T4" fmla="*/ 54 w 75"/>
              <a:gd name="T5" fmla="*/ 13 h 50"/>
              <a:gd name="T6" fmla="*/ 65 w 75"/>
              <a:gd name="T7" fmla="*/ 29 h 50"/>
              <a:gd name="T8" fmla="*/ 75 w 75"/>
              <a:gd name="T9" fmla="*/ 50 h 50"/>
              <a:gd name="T10" fmla="*/ 49 w 75"/>
              <a:gd name="T11" fmla="*/ 47 h 50"/>
              <a:gd name="T12" fmla="*/ 27 w 75"/>
              <a:gd name="T13" fmla="*/ 41 h 50"/>
              <a:gd name="T14" fmla="*/ 7 w 75"/>
              <a:gd name="T15" fmla="*/ 30 h 50"/>
              <a:gd name="T16" fmla="*/ 0 w 75"/>
              <a:gd name="T17" fmla="*/ 26 h 50"/>
              <a:gd name="T18" fmla="*/ 2 w 75"/>
              <a:gd name="T19" fmla="*/ 21 h 50"/>
              <a:gd name="T20" fmla="*/ 8 w 75"/>
              <a:gd name="T21" fmla="*/ 11 h 50"/>
              <a:gd name="T22" fmla="*/ 18 w 75"/>
              <a:gd name="T23" fmla="*/ 3 h 50"/>
              <a:gd name="T24" fmla="*/ 28 w 75"/>
              <a:gd name="T25"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5" h="50">
                <a:moveTo>
                  <a:pt x="28" y="0"/>
                </a:moveTo>
                <a:lnTo>
                  <a:pt x="40" y="0"/>
                </a:lnTo>
                <a:lnTo>
                  <a:pt x="54" y="13"/>
                </a:lnTo>
                <a:lnTo>
                  <a:pt x="65" y="29"/>
                </a:lnTo>
                <a:lnTo>
                  <a:pt x="75" y="50"/>
                </a:lnTo>
                <a:lnTo>
                  <a:pt x="49" y="47"/>
                </a:lnTo>
                <a:lnTo>
                  <a:pt x="27" y="41"/>
                </a:lnTo>
                <a:lnTo>
                  <a:pt x="7" y="30"/>
                </a:lnTo>
                <a:lnTo>
                  <a:pt x="0" y="26"/>
                </a:lnTo>
                <a:lnTo>
                  <a:pt x="2" y="21"/>
                </a:lnTo>
                <a:lnTo>
                  <a:pt x="8" y="11"/>
                </a:lnTo>
                <a:lnTo>
                  <a:pt x="18" y="3"/>
                </a:lnTo>
                <a:lnTo>
                  <a:pt x="28" y="0"/>
                </a:lnTo>
                <a:close/>
              </a:path>
            </a:pathLst>
          </a:custGeom>
          <a:solidFill>
            <a:schemeClr val="accent4">
              <a:lumMod val="75000"/>
            </a:schemeClr>
          </a:solidFill>
          <a:ln w="0">
            <a:solidFill>
              <a:schemeClr val="accent4">
                <a:lumMod val="75000"/>
              </a:schemeClr>
            </a:solidFill>
            <a:prstDash val="solid"/>
            <a:round/>
            <a:headEnd/>
            <a:tailEnd/>
          </a:ln>
        </xdr:spPr>
      </xdr:sp>
      <xdr:sp macro="" textlink="">
        <xdr:nvSpPr>
          <xdr:cNvPr id="92" name="Freeform 143"/>
          <xdr:cNvSpPr>
            <a:spLocks/>
          </xdr:cNvSpPr>
        </xdr:nvSpPr>
        <xdr:spPr bwMode="auto">
          <a:xfrm>
            <a:off x="54" y="810"/>
            <a:ext cx="23" cy="25"/>
          </a:xfrm>
          <a:custGeom>
            <a:avLst/>
            <a:gdLst>
              <a:gd name="T0" fmla="*/ 81 w 91"/>
              <a:gd name="T1" fmla="*/ 0 h 100"/>
              <a:gd name="T2" fmla="*/ 89 w 91"/>
              <a:gd name="T3" fmla="*/ 24 h 100"/>
              <a:gd name="T4" fmla="*/ 91 w 91"/>
              <a:gd name="T5" fmla="*/ 49 h 100"/>
              <a:gd name="T6" fmla="*/ 90 w 91"/>
              <a:gd name="T7" fmla="*/ 75 h 100"/>
              <a:gd name="T8" fmla="*/ 82 w 91"/>
              <a:gd name="T9" fmla="*/ 100 h 100"/>
              <a:gd name="T10" fmla="*/ 0 w 91"/>
              <a:gd name="T11" fmla="*/ 100 h 100"/>
              <a:gd name="T12" fmla="*/ 8 w 91"/>
              <a:gd name="T13" fmla="*/ 73 h 100"/>
              <a:gd name="T14" fmla="*/ 22 w 91"/>
              <a:gd name="T15" fmla="*/ 49 h 100"/>
              <a:gd name="T16" fmla="*/ 38 w 91"/>
              <a:gd name="T17" fmla="*/ 29 h 100"/>
              <a:gd name="T18" fmla="*/ 59 w 91"/>
              <a:gd name="T19" fmla="*/ 13 h 100"/>
              <a:gd name="T20" fmla="*/ 81 w 91"/>
              <a:gd name="T21" fmla="*/ 0 h 1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91" h="100">
                <a:moveTo>
                  <a:pt x="81" y="0"/>
                </a:moveTo>
                <a:lnTo>
                  <a:pt x="89" y="24"/>
                </a:lnTo>
                <a:lnTo>
                  <a:pt x="91" y="49"/>
                </a:lnTo>
                <a:lnTo>
                  <a:pt x="90" y="75"/>
                </a:lnTo>
                <a:lnTo>
                  <a:pt x="82" y="100"/>
                </a:lnTo>
                <a:lnTo>
                  <a:pt x="0" y="100"/>
                </a:lnTo>
                <a:lnTo>
                  <a:pt x="8" y="73"/>
                </a:lnTo>
                <a:lnTo>
                  <a:pt x="22" y="49"/>
                </a:lnTo>
                <a:lnTo>
                  <a:pt x="38" y="29"/>
                </a:lnTo>
                <a:lnTo>
                  <a:pt x="59" y="13"/>
                </a:lnTo>
                <a:lnTo>
                  <a:pt x="81" y="0"/>
                </a:lnTo>
                <a:close/>
              </a:path>
            </a:pathLst>
          </a:custGeom>
          <a:solidFill>
            <a:schemeClr val="accent6"/>
          </a:solidFill>
          <a:ln w="0">
            <a:solidFill>
              <a:schemeClr val="accent6"/>
            </a:solidFill>
            <a:prstDash val="solid"/>
            <a:round/>
            <a:headEnd/>
            <a:tailEnd/>
          </a:ln>
        </xdr:spPr>
      </xdr:sp>
      <xdr:sp macro="" textlink="">
        <xdr:nvSpPr>
          <xdr:cNvPr id="93" name="Freeform 144"/>
          <xdr:cNvSpPr>
            <a:spLocks/>
          </xdr:cNvSpPr>
        </xdr:nvSpPr>
        <xdr:spPr bwMode="auto">
          <a:xfrm>
            <a:off x="28" y="810"/>
            <a:ext cx="22" cy="25"/>
          </a:xfrm>
          <a:custGeom>
            <a:avLst/>
            <a:gdLst>
              <a:gd name="T0" fmla="*/ 10 w 91"/>
              <a:gd name="T1" fmla="*/ 0 h 101"/>
              <a:gd name="T2" fmla="*/ 33 w 91"/>
              <a:gd name="T3" fmla="*/ 13 h 101"/>
              <a:gd name="T4" fmla="*/ 53 w 91"/>
              <a:gd name="T5" fmla="*/ 30 h 101"/>
              <a:gd name="T6" fmla="*/ 70 w 91"/>
              <a:gd name="T7" fmla="*/ 50 h 101"/>
              <a:gd name="T8" fmla="*/ 83 w 91"/>
              <a:gd name="T9" fmla="*/ 74 h 101"/>
              <a:gd name="T10" fmla="*/ 91 w 91"/>
              <a:gd name="T11" fmla="*/ 101 h 101"/>
              <a:gd name="T12" fmla="*/ 44 w 91"/>
              <a:gd name="T13" fmla="*/ 101 h 101"/>
              <a:gd name="T14" fmla="*/ 28 w 91"/>
              <a:gd name="T15" fmla="*/ 99 h 101"/>
              <a:gd name="T16" fmla="*/ 15 w 91"/>
              <a:gd name="T17" fmla="*/ 93 h 101"/>
              <a:gd name="T18" fmla="*/ 2 w 91"/>
              <a:gd name="T19" fmla="*/ 83 h 101"/>
              <a:gd name="T20" fmla="*/ 0 w 91"/>
              <a:gd name="T21" fmla="*/ 55 h 101"/>
              <a:gd name="T22" fmla="*/ 2 w 91"/>
              <a:gd name="T23" fmla="*/ 27 h 101"/>
              <a:gd name="T24" fmla="*/ 10 w 91"/>
              <a:gd name="T25"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91" h="101">
                <a:moveTo>
                  <a:pt x="10" y="0"/>
                </a:moveTo>
                <a:lnTo>
                  <a:pt x="33" y="13"/>
                </a:lnTo>
                <a:lnTo>
                  <a:pt x="53" y="30"/>
                </a:lnTo>
                <a:lnTo>
                  <a:pt x="70" y="50"/>
                </a:lnTo>
                <a:lnTo>
                  <a:pt x="83" y="74"/>
                </a:lnTo>
                <a:lnTo>
                  <a:pt x="91" y="101"/>
                </a:lnTo>
                <a:lnTo>
                  <a:pt x="44" y="101"/>
                </a:lnTo>
                <a:lnTo>
                  <a:pt x="28" y="99"/>
                </a:lnTo>
                <a:lnTo>
                  <a:pt x="15" y="93"/>
                </a:lnTo>
                <a:lnTo>
                  <a:pt x="2" y="83"/>
                </a:lnTo>
                <a:lnTo>
                  <a:pt x="0" y="55"/>
                </a:lnTo>
                <a:lnTo>
                  <a:pt x="2" y="27"/>
                </a:lnTo>
                <a:lnTo>
                  <a:pt x="10" y="0"/>
                </a:lnTo>
                <a:close/>
              </a:path>
            </a:pathLst>
          </a:custGeom>
          <a:solidFill>
            <a:schemeClr val="accent6"/>
          </a:solidFill>
          <a:ln w="0">
            <a:solidFill>
              <a:schemeClr val="accent6"/>
            </a:solidFill>
            <a:prstDash val="solid"/>
            <a:round/>
            <a:headEnd/>
            <a:tailEnd/>
          </a:ln>
        </xdr:spPr>
      </xdr:sp>
      <xdr:sp macro="" textlink="">
        <xdr:nvSpPr>
          <xdr:cNvPr id="94" name="Freeform 145"/>
          <xdr:cNvSpPr>
            <a:spLocks/>
          </xdr:cNvSpPr>
        </xdr:nvSpPr>
        <xdr:spPr bwMode="auto">
          <a:xfrm>
            <a:off x="617" y="805"/>
            <a:ext cx="36" cy="17"/>
          </a:xfrm>
          <a:custGeom>
            <a:avLst/>
            <a:gdLst>
              <a:gd name="T0" fmla="*/ 65 w 145"/>
              <a:gd name="T1" fmla="*/ 0 h 66"/>
              <a:gd name="T2" fmla="*/ 88 w 145"/>
              <a:gd name="T3" fmla="*/ 1 h 66"/>
              <a:gd name="T4" fmla="*/ 109 w 145"/>
              <a:gd name="T5" fmla="*/ 6 h 66"/>
              <a:gd name="T6" fmla="*/ 128 w 145"/>
              <a:gd name="T7" fmla="*/ 15 h 66"/>
              <a:gd name="T8" fmla="*/ 145 w 145"/>
              <a:gd name="T9" fmla="*/ 27 h 66"/>
              <a:gd name="T10" fmla="*/ 130 w 145"/>
              <a:gd name="T11" fmla="*/ 42 h 66"/>
              <a:gd name="T12" fmla="*/ 112 w 145"/>
              <a:gd name="T13" fmla="*/ 53 h 66"/>
              <a:gd name="T14" fmla="*/ 92 w 145"/>
              <a:gd name="T15" fmla="*/ 61 h 66"/>
              <a:gd name="T16" fmla="*/ 71 w 145"/>
              <a:gd name="T17" fmla="*/ 66 h 66"/>
              <a:gd name="T18" fmla="*/ 45 w 145"/>
              <a:gd name="T19" fmla="*/ 65 h 66"/>
              <a:gd name="T20" fmla="*/ 21 w 145"/>
              <a:gd name="T21" fmla="*/ 58 h 66"/>
              <a:gd name="T22" fmla="*/ 1 w 145"/>
              <a:gd name="T23" fmla="*/ 46 h 66"/>
              <a:gd name="T24" fmla="*/ 1 w 145"/>
              <a:gd name="T25" fmla="*/ 37 h 66"/>
              <a:gd name="T26" fmla="*/ 0 w 145"/>
              <a:gd name="T27" fmla="*/ 29 h 66"/>
              <a:gd name="T28" fmla="*/ 19 w 145"/>
              <a:gd name="T29" fmla="*/ 15 h 66"/>
              <a:gd name="T30" fmla="*/ 40 w 145"/>
              <a:gd name="T31" fmla="*/ 5 h 66"/>
              <a:gd name="T32" fmla="*/ 65 w 145"/>
              <a:gd name="T33" fmla="*/ 0 h 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145" h="66">
                <a:moveTo>
                  <a:pt x="65" y="0"/>
                </a:moveTo>
                <a:lnTo>
                  <a:pt x="88" y="1"/>
                </a:lnTo>
                <a:lnTo>
                  <a:pt x="109" y="6"/>
                </a:lnTo>
                <a:lnTo>
                  <a:pt x="128" y="15"/>
                </a:lnTo>
                <a:lnTo>
                  <a:pt x="145" y="27"/>
                </a:lnTo>
                <a:lnTo>
                  <a:pt x="130" y="42"/>
                </a:lnTo>
                <a:lnTo>
                  <a:pt x="112" y="53"/>
                </a:lnTo>
                <a:lnTo>
                  <a:pt x="92" y="61"/>
                </a:lnTo>
                <a:lnTo>
                  <a:pt x="71" y="66"/>
                </a:lnTo>
                <a:lnTo>
                  <a:pt x="45" y="65"/>
                </a:lnTo>
                <a:lnTo>
                  <a:pt x="21" y="58"/>
                </a:lnTo>
                <a:lnTo>
                  <a:pt x="1" y="46"/>
                </a:lnTo>
                <a:lnTo>
                  <a:pt x="1" y="37"/>
                </a:lnTo>
                <a:lnTo>
                  <a:pt x="0" y="29"/>
                </a:lnTo>
                <a:lnTo>
                  <a:pt x="19" y="15"/>
                </a:lnTo>
                <a:lnTo>
                  <a:pt x="40" y="5"/>
                </a:lnTo>
                <a:lnTo>
                  <a:pt x="65" y="0"/>
                </a:lnTo>
                <a:close/>
              </a:path>
            </a:pathLst>
          </a:custGeom>
          <a:solidFill>
            <a:schemeClr val="accent5"/>
          </a:solidFill>
          <a:ln w="0">
            <a:solidFill>
              <a:schemeClr val="accent5"/>
            </a:solidFill>
            <a:prstDash val="solid"/>
            <a:round/>
            <a:headEnd/>
            <a:tailEnd/>
          </a:ln>
        </xdr:spPr>
      </xdr:sp>
      <xdr:sp macro="" textlink="">
        <xdr:nvSpPr>
          <xdr:cNvPr id="95" name="Freeform 146"/>
          <xdr:cNvSpPr>
            <a:spLocks/>
          </xdr:cNvSpPr>
        </xdr:nvSpPr>
        <xdr:spPr bwMode="auto">
          <a:xfrm>
            <a:off x="595" y="814"/>
            <a:ext cx="2" cy="4"/>
          </a:xfrm>
          <a:custGeom>
            <a:avLst/>
            <a:gdLst>
              <a:gd name="T0" fmla="*/ 0 w 10"/>
              <a:gd name="T1" fmla="*/ 0 h 16"/>
              <a:gd name="T2" fmla="*/ 4 w 10"/>
              <a:gd name="T3" fmla="*/ 4 h 16"/>
              <a:gd name="T4" fmla="*/ 10 w 10"/>
              <a:gd name="T5" fmla="*/ 8 h 16"/>
              <a:gd name="T6" fmla="*/ 5 w 10"/>
              <a:gd name="T7" fmla="*/ 13 h 16"/>
              <a:gd name="T8" fmla="*/ 1 w 10"/>
              <a:gd name="T9" fmla="*/ 16 h 16"/>
              <a:gd name="T10" fmla="*/ 0 w 10"/>
              <a:gd name="T11" fmla="*/ 8 h 16"/>
              <a:gd name="T12" fmla="*/ 0 w 10"/>
              <a:gd name="T13" fmla="*/ 0 h 16"/>
            </a:gdLst>
            <a:ahLst/>
            <a:cxnLst>
              <a:cxn ang="0">
                <a:pos x="T0" y="T1"/>
              </a:cxn>
              <a:cxn ang="0">
                <a:pos x="T2" y="T3"/>
              </a:cxn>
              <a:cxn ang="0">
                <a:pos x="T4" y="T5"/>
              </a:cxn>
              <a:cxn ang="0">
                <a:pos x="T6" y="T7"/>
              </a:cxn>
              <a:cxn ang="0">
                <a:pos x="T8" y="T9"/>
              </a:cxn>
              <a:cxn ang="0">
                <a:pos x="T10" y="T11"/>
              </a:cxn>
              <a:cxn ang="0">
                <a:pos x="T12" y="T13"/>
              </a:cxn>
            </a:cxnLst>
            <a:rect l="0" t="0" r="r" b="b"/>
            <a:pathLst>
              <a:path w="10" h="16">
                <a:moveTo>
                  <a:pt x="0" y="0"/>
                </a:moveTo>
                <a:lnTo>
                  <a:pt x="4" y="4"/>
                </a:lnTo>
                <a:lnTo>
                  <a:pt x="10" y="8"/>
                </a:lnTo>
                <a:lnTo>
                  <a:pt x="5" y="13"/>
                </a:lnTo>
                <a:lnTo>
                  <a:pt x="1" y="16"/>
                </a:lnTo>
                <a:lnTo>
                  <a:pt x="0" y="8"/>
                </a:lnTo>
                <a:lnTo>
                  <a:pt x="0" y="0"/>
                </a:lnTo>
                <a:close/>
              </a:path>
            </a:pathLst>
          </a:custGeom>
          <a:solidFill>
            <a:schemeClr val="accent5"/>
          </a:solidFill>
          <a:ln w="0">
            <a:solidFill>
              <a:schemeClr val="accent5"/>
            </a:solidFill>
            <a:prstDash val="solid"/>
            <a:round/>
            <a:headEnd/>
            <a:tailEnd/>
          </a:ln>
        </xdr:spPr>
      </xdr:sp>
      <xdr:sp macro="" textlink="">
        <xdr:nvSpPr>
          <xdr:cNvPr id="96" name="Freeform 147"/>
          <xdr:cNvSpPr>
            <a:spLocks/>
          </xdr:cNvSpPr>
        </xdr:nvSpPr>
        <xdr:spPr bwMode="auto">
          <a:xfrm>
            <a:off x="601" y="826"/>
            <a:ext cx="13" cy="9"/>
          </a:xfrm>
          <a:custGeom>
            <a:avLst/>
            <a:gdLst>
              <a:gd name="T0" fmla="*/ 32 w 54"/>
              <a:gd name="T1" fmla="*/ 0 h 35"/>
              <a:gd name="T2" fmla="*/ 45 w 54"/>
              <a:gd name="T3" fmla="*/ 17 h 35"/>
              <a:gd name="T4" fmla="*/ 54 w 54"/>
              <a:gd name="T5" fmla="*/ 35 h 35"/>
              <a:gd name="T6" fmla="*/ 0 w 54"/>
              <a:gd name="T7" fmla="*/ 35 h 35"/>
              <a:gd name="T8" fmla="*/ 7 w 54"/>
              <a:gd name="T9" fmla="*/ 17 h 35"/>
              <a:gd name="T10" fmla="*/ 16 w 54"/>
              <a:gd name="T11" fmla="*/ 1 h 35"/>
              <a:gd name="T12" fmla="*/ 24 w 54"/>
              <a:gd name="T13" fmla="*/ 1 h 35"/>
              <a:gd name="T14" fmla="*/ 32 w 54"/>
              <a:gd name="T15" fmla="*/ 0 h 35"/>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4" h="35">
                <a:moveTo>
                  <a:pt x="32" y="0"/>
                </a:moveTo>
                <a:lnTo>
                  <a:pt x="45" y="17"/>
                </a:lnTo>
                <a:lnTo>
                  <a:pt x="54" y="35"/>
                </a:lnTo>
                <a:lnTo>
                  <a:pt x="0" y="35"/>
                </a:lnTo>
                <a:lnTo>
                  <a:pt x="7" y="17"/>
                </a:lnTo>
                <a:lnTo>
                  <a:pt x="16" y="1"/>
                </a:lnTo>
                <a:lnTo>
                  <a:pt x="24" y="1"/>
                </a:lnTo>
                <a:lnTo>
                  <a:pt x="32" y="0"/>
                </a:lnTo>
                <a:close/>
              </a:path>
            </a:pathLst>
          </a:custGeom>
          <a:solidFill>
            <a:schemeClr val="accent5"/>
          </a:solidFill>
          <a:ln w="0">
            <a:solidFill>
              <a:schemeClr val="accent5"/>
            </a:solidFill>
            <a:prstDash val="solid"/>
            <a:round/>
            <a:headEnd/>
            <a:tailEnd/>
          </a:ln>
        </xdr:spPr>
      </xdr:sp>
      <xdr:sp macro="" textlink="">
        <xdr:nvSpPr>
          <xdr:cNvPr id="97" name="Freeform 148"/>
          <xdr:cNvSpPr>
            <a:spLocks/>
          </xdr:cNvSpPr>
        </xdr:nvSpPr>
        <xdr:spPr bwMode="auto">
          <a:xfrm>
            <a:off x="597" y="822"/>
            <a:ext cx="3" cy="3"/>
          </a:xfrm>
          <a:custGeom>
            <a:avLst/>
            <a:gdLst>
              <a:gd name="T0" fmla="*/ 11 w 11"/>
              <a:gd name="T1" fmla="*/ 0 h 12"/>
              <a:gd name="T2" fmla="*/ 11 w 11"/>
              <a:gd name="T3" fmla="*/ 12 h 12"/>
              <a:gd name="T4" fmla="*/ 4 w 11"/>
              <a:gd name="T5" fmla="*/ 8 h 12"/>
              <a:gd name="T6" fmla="*/ 0 w 11"/>
              <a:gd name="T7" fmla="*/ 2 h 12"/>
              <a:gd name="T8" fmla="*/ 11 w 11"/>
              <a:gd name="T9" fmla="*/ 0 h 12"/>
            </a:gdLst>
            <a:ahLst/>
            <a:cxnLst>
              <a:cxn ang="0">
                <a:pos x="T0" y="T1"/>
              </a:cxn>
              <a:cxn ang="0">
                <a:pos x="T2" y="T3"/>
              </a:cxn>
              <a:cxn ang="0">
                <a:pos x="T4" y="T5"/>
              </a:cxn>
              <a:cxn ang="0">
                <a:pos x="T6" y="T7"/>
              </a:cxn>
              <a:cxn ang="0">
                <a:pos x="T8" y="T9"/>
              </a:cxn>
            </a:cxnLst>
            <a:rect l="0" t="0" r="r" b="b"/>
            <a:pathLst>
              <a:path w="11" h="12">
                <a:moveTo>
                  <a:pt x="11" y="0"/>
                </a:moveTo>
                <a:lnTo>
                  <a:pt x="11" y="12"/>
                </a:lnTo>
                <a:lnTo>
                  <a:pt x="4" y="8"/>
                </a:lnTo>
                <a:lnTo>
                  <a:pt x="0" y="2"/>
                </a:lnTo>
                <a:lnTo>
                  <a:pt x="11" y="0"/>
                </a:lnTo>
                <a:close/>
              </a:path>
            </a:pathLst>
          </a:custGeom>
          <a:solidFill>
            <a:schemeClr val="accent5"/>
          </a:solidFill>
          <a:ln w="0">
            <a:solidFill>
              <a:schemeClr val="accent5"/>
            </a:solidFill>
            <a:prstDash val="solid"/>
            <a:round/>
            <a:headEnd/>
            <a:tailEnd/>
          </a:ln>
        </xdr:spPr>
      </xdr:sp>
      <xdr:sp macro="" textlink="">
        <xdr:nvSpPr>
          <xdr:cNvPr id="98" name="Freeform 149"/>
          <xdr:cNvSpPr>
            <a:spLocks/>
          </xdr:cNvSpPr>
        </xdr:nvSpPr>
        <xdr:spPr bwMode="auto">
          <a:xfrm>
            <a:off x="579" y="823"/>
            <a:ext cx="21" cy="12"/>
          </a:xfrm>
          <a:custGeom>
            <a:avLst/>
            <a:gdLst>
              <a:gd name="T0" fmla="*/ 74 w 85"/>
              <a:gd name="T1" fmla="*/ 0 h 50"/>
              <a:gd name="T2" fmla="*/ 78 w 85"/>
              <a:gd name="T3" fmla="*/ 6 h 50"/>
              <a:gd name="T4" fmla="*/ 85 w 85"/>
              <a:gd name="T5" fmla="*/ 10 h 50"/>
              <a:gd name="T6" fmla="*/ 83 w 85"/>
              <a:gd name="T7" fmla="*/ 31 h 50"/>
              <a:gd name="T8" fmla="*/ 76 w 85"/>
              <a:gd name="T9" fmla="*/ 50 h 50"/>
              <a:gd name="T10" fmla="*/ 0 w 85"/>
              <a:gd name="T11" fmla="*/ 50 h 50"/>
              <a:gd name="T12" fmla="*/ 5 w 85"/>
              <a:gd name="T13" fmla="*/ 43 h 50"/>
              <a:gd name="T14" fmla="*/ 10 w 85"/>
              <a:gd name="T15" fmla="*/ 36 h 50"/>
              <a:gd name="T16" fmla="*/ 29 w 85"/>
              <a:gd name="T17" fmla="*/ 19 h 50"/>
              <a:gd name="T18" fmla="*/ 50 w 85"/>
              <a:gd name="T19" fmla="*/ 7 h 50"/>
              <a:gd name="T20" fmla="*/ 74 w 85"/>
              <a:gd name="T21"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85" h="50">
                <a:moveTo>
                  <a:pt x="74" y="0"/>
                </a:moveTo>
                <a:lnTo>
                  <a:pt x="78" y="6"/>
                </a:lnTo>
                <a:lnTo>
                  <a:pt x="85" y="10"/>
                </a:lnTo>
                <a:lnTo>
                  <a:pt x="83" y="31"/>
                </a:lnTo>
                <a:lnTo>
                  <a:pt x="76" y="50"/>
                </a:lnTo>
                <a:lnTo>
                  <a:pt x="0" y="50"/>
                </a:lnTo>
                <a:lnTo>
                  <a:pt x="5" y="43"/>
                </a:lnTo>
                <a:lnTo>
                  <a:pt x="10" y="36"/>
                </a:lnTo>
                <a:lnTo>
                  <a:pt x="29" y="19"/>
                </a:lnTo>
                <a:lnTo>
                  <a:pt x="50" y="7"/>
                </a:lnTo>
                <a:lnTo>
                  <a:pt x="74" y="0"/>
                </a:lnTo>
                <a:close/>
              </a:path>
            </a:pathLst>
          </a:custGeom>
          <a:solidFill>
            <a:schemeClr val="accent5"/>
          </a:solidFill>
          <a:ln w="0">
            <a:solidFill>
              <a:schemeClr val="accent5"/>
            </a:solidFill>
            <a:prstDash val="solid"/>
            <a:round/>
            <a:headEnd/>
            <a:tailEnd/>
          </a:ln>
        </xdr:spPr>
      </xdr:sp>
      <xdr:sp macro="" textlink="">
        <xdr:nvSpPr>
          <xdr:cNvPr id="99" name="Freeform 150"/>
          <xdr:cNvSpPr>
            <a:spLocks/>
          </xdr:cNvSpPr>
        </xdr:nvSpPr>
        <xdr:spPr bwMode="auto">
          <a:xfrm>
            <a:off x="604" y="824"/>
            <a:ext cx="4" cy="3"/>
          </a:xfrm>
          <a:custGeom>
            <a:avLst/>
            <a:gdLst>
              <a:gd name="T0" fmla="*/ 8 w 16"/>
              <a:gd name="T1" fmla="*/ 0 h 10"/>
              <a:gd name="T2" fmla="*/ 12 w 16"/>
              <a:gd name="T3" fmla="*/ 4 h 10"/>
              <a:gd name="T4" fmla="*/ 16 w 16"/>
              <a:gd name="T5" fmla="*/ 9 h 10"/>
              <a:gd name="T6" fmla="*/ 8 w 16"/>
              <a:gd name="T7" fmla="*/ 10 h 10"/>
              <a:gd name="T8" fmla="*/ 0 w 16"/>
              <a:gd name="T9" fmla="*/ 10 h 10"/>
              <a:gd name="T10" fmla="*/ 8 w 16"/>
              <a:gd name="T11" fmla="*/ 0 h 10"/>
            </a:gdLst>
            <a:ahLst/>
            <a:cxnLst>
              <a:cxn ang="0">
                <a:pos x="T0" y="T1"/>
              </a:cxn>
              <a:cxn ang="0">
                <a:pos x="T2" y="T3"/>
              </a:cxn>
              <a:cxn ang="0">
                <a:pos x="T4" y="T5"/>
              </a:cxn>
              <a:cxn ang="0">
                <a:pos x="T6" y="T7"/>
              </a:cxn>
              <a:cxn ang="0">
                <a:pos x="T8" y="T9"/>
              </a:cxn>
              <a:cxn ang="0">
                <a:pos x="T10" y="T11"/>
              </a:cxn>
            </a:cxnLst>
            <a:rect l="0" t="0" r="r" b="b"/>
            <a:pathLst>
              <a:path w="16" h="10">
                <a:moveTo>
                  <a:pt x="8" y="0"/>
                </a:moveTo>
                <a:lnTo>
                  <a:pt x="12" y="4"/>
                </a:lnTo>
                <a:lnTo>
                  <a:pt x="16" y="9"/>
                </a:lnTo>
                <a:lnTo>
                  <a:pt x="8" y="10"/>
                </a:lnTo>
                <a:lnTo>
                  <a:pt x="0" y="10"/>
                </a:lnTo>
                <a:lnTo>
                  <a:pt x="8" y="0"/>
                </a:lnTo>
                <a:close/>
              </a:path>
            </a:pathLst>
          </a:custGeom>
          <a:solidFill>
            <a:schemeClr val="accent5"/>
          </a:solidFill>
          <a:ln w="0">
            <a:solidFill>
              <a:schemeClr val="accent5"/>
            </a:solidFill>
            <a:prstDash val="solid"/>
            <a:round/>
            <a:headEnd/>
            <a:tailEnd/>
          </a:ln>
        </xdr:spPr>
      </xdr:sp>
      <xdr:sp macro="" textlink="">
        <xdr:nvSpPr>
          <xdr:cNvPr id="100" name="Freeform 151"/>
          <xdr:cNvSpPr>
            <a:spLocks/>
          </xdr:cNvSpPr>
        </xdr:nvSpPr>
        <xdr:spPr bwMode="auto">
          <a:xfrm>
            <a:off x="612" y="821"/>
            <a:ext cx="3" cy="3"/>
          </a:xfrm>
          <a:custGeom>
            <a:avLst/>
            <a:gdLst>
              <a:gd name="T0" fmla="*/ 13 w 13"/>
              <a:gd name="T1" fmla="*/ 0 h 13"/>
              <a:gd name="T2" fmla="*/ 10 w 13"/>
              <a:gd name="T3" fmla="*/ 5 h 13"/>
              <a:gd name="T4" fmla="*/ 6 w 13"/>
              <a:gd name="T5" fmla="*/ 10 h 13"/>
              <a:gd name="T6" fmla="*/ 2 w 13"/>
              <a:gd name="T7" fmla="*/ 13 h 13"/>
              <a:gd name="T8" fmla="*/ 0 w 13"/>
              <a:gd name="T9" fmla="*/ 0 h 13"/>
              <a:gd name="T10" fmla="*/ 13 w 13"/>
              <a:gd name="T11" fmla="*/ 0 h 13"/>
            </a:gdLst>
            <a:ahLst/>
            <a:cxnLst>
              <a:cxn ang="0">
                <a:pos x="T0" y="T1"/>
              </a:cxn>
              <a:cxn ang="0">
                <a:pos x="T2" y="T3"/>
              </a:cxn>
              <a:cxn ang="0">
                <a:pos x="T4" y="T5"/>
              </a:cxn>
              <a:cxn ang="0">
                <a:pos x="T6" y="T7"/>
              </a:cxn>
              <a:cxn ang="0">
                <a:pos x="T8" y="T9"/>
              </a:cxn>
              <a:cxn ang="0">
                <a:pos x="T10" y="T11"/>
              </a:cxn>
            </a:cxnLst>
            <a:rect l="0" t="0" r="r" b="b"/>
            <a:pathLst>
              <a:path w="13" h="13">
                <a:moveTo>
                  <a:pt x="13" y="0"/>
                </a:moveTo>
                <a:lnTo>
                  <a:pt x="10" y="5"/>
                </a:lnTo>
                <a:lnTo>
                  <a:pt x="6" y="10"/>
                </a:lnTo>
                <a:lnTo>
                  <a:pt x="2" y="13"/>
                </a:lnTo>
                <a:lnTo>
                  <a:pt x="0" y="0"/>
                </a:lnTo>
                <a:lnTo>
                  <a:pt x="13" y="0"/>
                </a:lnTo>
                <a:close/>
              </a:path>
            </a:pathLst>
          </a:custGeom>
          <a:solidFill>
            <a:schemeClr val="accent5"/>
          </a:solidFill>
          <a:ln w="0">
            <a:solidFill>
              <a:schemeClr val="accent5"/>
            </a:solidFill>
            <a:prstDash val="solid"/>
            <a:round/>
            <a:headEnd/>
            <a:tailEnd/>
          </a:ln>
        </xdr:spPr>
      </xdr:sp>
      <xdr:sp macro="" textlink="">
        <xdr:nvSpPr>
          <xdr:cNvPr id="101" name="Freeform 152"/>
          <xdr:cNvSpPr>
            <a:spLocks/>
          </xdr:cNvSpPr>
        </xdr:nvSpPr>
        <xdr:spPr bwMode="auto">
          <a:xfrm>
            <a:off x="613" y="821"/>
            <a:ext cx="25" cy="14"/>
          </a:xfrm>
          <a:custGeom>
            <a:avLst/>
            <a:gdLst>
              <a:gd name="T0" fmla="*/ 11 w 102"/>
              <a:gd name="T1" fmla="*/ 0 h 56"/>
              <a:gd name="T2" fmla="*/ 35 w 102"/>
              <a:gd name="T3" fmla="*/ 4 h 56"/>
              <a:gd name="T4" fmla="*/ 58 w 102"/>
              <a:gd name="T5" fmla="*/ 13 h 56"/>
              <a:gd name="T6" fmla="*/ 78 w 102"/>
              <a:gd name="T7" fmla="*/ 27 h 56"/>
              <a:gd name="T8" fmla="*/ 91 w 102"/>
              <a:gd name="T9" fmla="*/ 41 h 56"/>
              <a:gd name="T10" fmla="*/ 102 w 102"/>
              <a:gd name="T11" fmla="*/ 56 h 56"/>
              <a:gd name="T12" fmla="*/ 18 w 102"/>
              <a:gd name="T13" fmla="*/ 56 h 56"/>
              <a:gd name="T14" fmla="*/ 7 w 102"/>
              <a:gd name="T15" fmla="*/ 36 h 56"/>
              <a:gd name="T16" fmla="*/ 0 w 102"/>
              <a:gd name="T17" fmla="*/ 13 h 56"/>
              <a:gd name="T18" fmla="*/ 4 w 102"/>
              <a:gd name="T19" fmla="*/ 10 h 56"/>
              <a:gd name="T20" fmla="*/ 8 w 102"/>
              <a:gd name="T21" fmla="*/ 5 h 56"/>
              <a:gd name="T22" fmla="*/ 11 w 102"/>
              <a:gd name="T23" fmla="*/ 0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02" h="56">
                <a:moveTo>
                  <a:pt x="11" y="0"/>
                </a:moveTo>
                <a:lnTo>
                  <a:pt x="35" y="4"/>
                </a:lnTo>
                <a:lnTo>
                  <a:pt x="58" y="13"/>
                </a:lnTo>
                <a:lnTo>
                  <a:pt x="78" y="27"/>
                </a:lnTo>
                <a:lnTo>
                  <a:pt x="91" y="41"/>
                </a:lnTo>
                <a:lnTo>
                  <a:pt x="102" y="56"/>
                </a:lnTo>
                <a:lnTo>
                  <a:pt x="18" y="56"/>
                </a:lnTo>
                <a:lnTo>
                  <a:pt x="7" y="36"/>
                </a:lnTo>
                <a:lnTo>
                  <a:pt x="0" y="13"/>
                </a:lnTo>
                <a:lnTo>
                  <a:pt x="4" y="10"/>
                </a:lnTo>
                <a:lnTo>
                  <a:pt x="8" y="5"/>
                </a:lnTo>
                <a:lnTo>
                  <a:pt x="11" y="0"/>
                </a:lnTo>
                <a:close/>
              </a:path>
            </a:pathLst>
          </a:custGeom>
          <a:solidFill>
            <a:schemeClr val="accent5"/>
          </a:solidFill>
          <a:ln w="0">
            <a:solidFill>
              <a:schemeClr val="accent5"/>
            </a:solidFill>
            <a:prstDash val="solid"/>
            <a:round/>
            <a:headEnd/>
            <a:tailEnd/>
          </a:ln>
        </xdr:spPr>
      </xdr:sp>
      <xdr:sp macro="" textlink="">
        <xdr:nvSpPr>
          <xdr:cNvPr id="102" name="Freeform 153"/>
          <xdr:cNvSpPr>
            <a:spLocks/>
          </xdr:cNvSpPr>
        </xdr:nvSpPr>
        <xdr:spPr bwMode="auto">
          <a:xfrm>
            <a:off x="572" y="785"/>
            <a:ext cx="27" cy="25"/>
          </a:xfrm>
          <a:custGeom>
            <a:avLst/>
            <a:gdLst>
              <a:gd name="T0" fmla="*/ 0 w 107"/>
              <a:gd name="T1" fmla="*/ 0 h 101"/>
              <a:gd name="T2" fmla="*/ 17 w 107"/>
              <a:gd name="T3" fmla="*/ 0 h 101"/>
              <a:gd name="T4" fmla="*/ 36 w 107"/>
              <a:gd name="T5" fmla="*/ 5 h 101"/>
              <a:gd name="T6" fmla="*/ 54 w 107"/>
              <a:gd name="T7" fmla="*/ 13 h 101"/>
              <a:gd name="T8" fmla="*/ 71 w 107"/>
              <a:gd name="T9" fmla="*/ 25 h 101"/>
              <a:gd name="T10" fmla="*/ 88 w 107"/>
              <a:gd name="T11" fmla="*/ 43 h 101"/>
              <a:gd name="T12" fmla="*/ 100 w 107"/>
              <a:gd name="T13" fmla="*/ 65 h 101"/>
              <a:gd name="T14" fmla="*/ 107 w 107"/>
              <a:gd name="T15" fmla="*/ 88 h 101"/>
              <a:gd name="T16" fmla="*/ 102 w 107"/>
              <a:gd name="T17" fmla="*/ 92 h 101"/>
              <a:gd name="T18" fmla="*/ 99 w 107"/>
              <a:gd name="T19" fmla="*/ 97 h 101"/>
              <a:gd name="T20" fmla="*/ 95 w 107"/>
              <a:gd name="T21" fmla="*/ 101 h 101"/>
              <a:gd name="T22" fmla="*/ 72 w 107"/>
              <a:gd name="T23" fmla="*/ 98 h 101"/>
              <a:gd name="T24" fmla="*/ 49 w 107"/>
              <a:gd name="T25" fmla="*/ 89 h 101"/>
              <a:gd name="T26" fmla="*/ 28 w 107"/>
              <a:gd name="T27" fmla="*/ 75 h 101"/>
              <a:gd name="T28" fmla="*/ 20 w 107"/>
              <a:gd name="T29" fmla="*/ 67 h 101"/>
              <a:gd name="T30" fmla="*/ 27 w 107"/>
              <a:gd name="T31" fmla="*/ 55 h 101"/>
              <a:gd name="T32" fmla="*/ 32 w 107"/>
              <a:gd name="T33" fmla="*/ 41 h 101"/>
              <a:gd name="T34" fmla="*/ 34 w 107"/>
              <a:gd name="T35" fmla="*/ 31 h 101"/>
              <a:gd name="T36" fmla="*/ 35 w 107"/>
              <a:gd name="T37" fmla="*/ 28 h 101"/>
              <a:gd name="T38" fmla="*/ 35 w 107"/>
              <a:gd name="T39" fmla="*/ 25 h 101"/>
              <a:gd name="T40" fmla="*/ 20 w 107"/>
              <a:gd name="T41" fmla="*/ 12 h 101"/>
              <a:gd name="T42" fmla="*/ 0 w 107"/>
              <a:gd name="T4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107" h="101">
                <a:moveTo>
                  <a:pt x="0" y="0"/>
                </a:moveTo>
                <a:lnTo>
                  <a:pt x="17" y="0"/>
                </a:lnTo>
                <a:lnTo>
                  <a:pt x="36" y="5"/>
                </a:lnTo>
                <a:lnTo>
                  <a:pt x="54" y="13"/>
                </a:lnTo>
                <a:lnTo>
                  <a:pt x="71" y="25"/>
                </a:lnTo>
                <a:lnTo>
                  <a:pt x="88" y="43"/>
                </a:lnTo>
                <a:lnTo>
                  <a:pt x="100" y="65"/>
                </a:lnTo>
                <a:lnTo>
                  <a:pt x="107" y="88"/>
                </a:lnTo>
                <a:lnTo>
                  <a:pt x="102" y="92"/>
                </a:lnTo>
                <a:lnTo>
                  <a:pt x="99" y="97"/>
                </a:lnTo>
                <a:lnTo>
                  <a:pt x="95" y="101"/>
                </a:lnTo>
                <a:lnTo>
                  <a:pt x="72" y="98"/>
                </a:lnTo>
                <a:lnTo>
                  <a:pt x="49" y="89"/>
                </a:lnTo>
                <a:lnTo>
                  <a:pt x="28" y="75"/>
                </a:lnTo>
                <a:lnTo>
                  <a:pt x="20" y="67"/>
                </a:lnTo>
                <a:lnTo>
                  <a:pt x="27" y="55"/>
                </a:lnTo>
                <a:lnTo>
                  <a:pt x="32" y="41"/>
                </a:lnTo>
                <a:lnTo>
                  <a:pt x="34" y="31"/>
                </a:lnTo>
                <a:lnTo>
                  <a:pt x="35" y="28"/>
                </a:lnTo>
                <a:lnTo>
                  <a:pt x="35" y="25"/>
                </a:lnTo>
                <a:lnTo>
                  <a:pt x="20" y="12"/>
                </a:lnTo>
                <a:lnTo>
                  <a:pt x="0" y="0"/>
                </a:lnTo>
                <a:close/>
              </a:path>
            </a:pathLst>
          </a:custGeom>
          <a:solidFill>
            <a:schemeClr val="accent5"/>
          </a:solidFill>
          <a:ln w="0">
            <a:solidFill>
              <a:schemeClr val="accent5"/>
            </a:solidFill>
            <a:prstDash val="solid"/>
            <a:round/>
            <a:headEnd/>
            <a:tailEnd/>
          </a:ln>
        </xdr:spPr>
      </xdr:sp>
      <xdr:sp macro="" textlink="">
        <xdr:nvSpPr>
          <xdr:cNvPr id="103" name="Freeform 154"/>
          <xdr:cNvSpPr>
            <a:spLocks/>
          </xdr:cNvSpPr>
        </xdr:nvSpPr>
        <xdr:spPr bwMode="auto">
          <a:xfrm>
            <a:off x="614" y="813"/>
            <a:ext cx="3" cy="4"/>
          </a:xfrm>
          <a:custGeom>
            <a:avLst/>
            <a:gdLst>
              <a:gd name="T0" fmla="*/ 10 w 11"/>
              <a:gd name="T1" fmla="*/ 0 h 17"/>
              <a:gd name="T2" fmla="*/ 11 w 11"/>
              <a:gd name="T3" fmla="*/ 8 h 17"/>
              <a:gd name="T4" fmla="*/ 11 w 11"/>
              <a:gd name="T5" fmla="*/ 17 h 17"/>
              <a:gd name="T6" fmla="*/ 6 w 11"/>
              <a:gd name="T7" fmla="*/ 14 h 17"/>
              <a:gd name="T8" fmla="*/ 0 w 11"/>
              <a:gd name="T9" fmla="*/ 10 h 17"/>
              <a:gd name="T10" fmla="*/ 5 w 11"/>
              <a:gd name="T11" fmla="*/ 5 h 17"/>
              <a:gd name="T12" fmla="*/ 10 w 11"/>
              <a:gd name="T13" fmla="*/ 0 h 17"/>
            </a:gdLst>
            <a:ahLst/>
            <a:cxnLst>
              <a:cxn ang="0">
                <a:pos x="T0" y="T1"/>
              </a:cxn>
              <a:cxn ang="0">
                <a:pos x="T2" y="T3"/>
              </a:cxn>
              <a:cxn ang="0">
                <a:pos x="T4" y="T5"/>
              </a:cxn>
              <a:cxn ang="0">
                <a:pos x="T6" y="T7"/>
              </a:cxn>
              <a:cxn ang="0">
                <a:pos x="T8" y="T9"/>
              </a:cxn>
              <a:cxn ang="0">
                <a:pos x="T10" y="T11"/>
              </a:cxn>
              <a:cxn ang="0">
                <a:pos x="T12" y="T13"/>
              </a:cxn>
            </a:cxnLst>
            <a:rect l="0" t="0" r="r" b="b"/>
            <a:pathLst>
              <a:path w="11" h="17">
                <a:moveTo>
                  <a:pt x="10" y="0"/>
                </a:moveTo>
                <a:lnTo>
                  <a:pt x="11" y="8"/>
                </a:lnTo>
                <a:lnTo>
                  <a:pt x="11" y="17"/>
                </a:lnTo>
                <a:lnTo>
                  <a:pt x="6" y="14"/>
                </a:lnTo>
                <a:lnTo>
                  <a:pt x="0" y="10"/>
                </a:lnTo>
                <a:lnTo>
                  <a:pt x="5" y="5"/>
                </a:lnTo>
                <a:lnTo>
                  <a:pt x="10" y="0"/>
                </a:lnTo>
                <a:close/>
              </a:path>
            </a:pathLst>
          </a:custGeom>
          <a:solidFill>
            <a:schemeClr val="accent5"/>
          </a:solidFill>
          <a:ln w="0">
            <a:solidFill>
              <a:schemeClr val="accent5"/>
            </a:solidFill>
            <a:prstDash val="solid"/>
            <a:round/>
            <a:headEnd/>
            <a:tailEnd/>
          </a:ln>
        </xdr:spPr>
      </xdr:sp>
      <xdr:sp macro="" textlink="">
        <xdr:nvSpPr>
          <xdr:cNvPr id="104" name="Freeform 155"/>
          <xdr:cNvSpPr>
            <a:spLocks/>
          </xdr:cNvSpPr>
        </xdr:nvSpPr>
        <xdr:spPr bwMode="auto">
          <a:xfrm>
            <a:off x="603" y="804"/>
            <a:ext cx="4" cy="3"/>
          </a:xfrm>
          <a:custGeom>
            <a:avLst/>
            <a:gdLst>
              <a:gd name="T0" fmla="*/ 8 w 17"/>
              <a:gd name="T1" fmla="*/ 0 h 11"/>
              <a:gd name="T2" fmla="*/ 17 w 17"/>
              <a:gd name="T3" fmla="*/ 0 h 11"/>
              <a:gd name="T4" fmla="*/ 14 w 17"/>
              <a:gd name="T5" fmla="*/ 5 h 11"/>
              <a:gd name="T6" fmla="*/ 9 w 17"/>
              <a:gd name="T7" fmla="*/ 11 h 11"/>
              <a:gd name="T8" fmla="*/ 5 w 17"/>
              <a:gd name="T9" fmla="*/ 6 h 11"/>
              <a:gd name="T10" fmla="*/ 0 w 17"/>
              <a:gd name="T11" fmla="*/ 1 h 11"/>
              <a:gd name="T12" fmla="*/ 8 w 17"/>
              <a:gd name="T13" fmla="*/ 0 h 11"/>
            </a:gdLst>
            <a:ahLst/>
            <a:cxnLst>
              <a:cxn ang="0">
                <a:pos x="T0" y="T1"/>
              </a:cxn>
              <a:cxn ang="0">
                <a:pos x="T2" y="T3"/>
              </a:cxn>
              <a:cxn ang="0">
                <a:pos x="T4" y="T5"/>
              </a:cxn>
              <a:cxn ang="0">
                <a:pos x="T6" y="T7"/>
              </a:cxn>
              <a:cxn ang="0">
                <a:pos x="T8" y="T9"/>
              </a:cxn>
              <a:cxn ang="0">
                <a:pos x="T10" y="T11"/>
              </a:cxn>
              <a:cxn ang="0">
                <a:pos x="T12" y="T13"/>
              </a:cxn>
            </a:cxnLst>
            <a:rect l="0" t="0" r="r" b="b"/>
            <a:pathLst>
              <a:path w="17" h="11">
                <a:moveTo>
                  <a:pt x="8" y="0"/>
                </a:moveTo>
                <a:lnTo>
                  <a:pt x="17" y="0"/>
                </a:lnTo>
                <a:lnTo>
                  <a:pt x="14" y="5"/>
                </a:lnTo>
                <a:lnTo>
                  <a:pt x="9" y="11"/>
                </a:lnTo>
                <a:lnTo>
                  <a:pt x="5" y="6"/>
                </a:lnTo>
                <a:lnTo>
                  <a:pt x="0" y="1"/>
                </a:lnTo>
                <a:lnTo>
                  <a:pt x="8" y="0"/>
                </a:lnTo>
                <a:close/>
              </a:path>
            </a:pathLst>
          </a:custGeom>
          <a:solidFill>
            <a:schemeClr val="accent5"/>
          </a:solidFill>
          <a:ln w="0">
            <a:solidFill>
              <a:schemeClr val="accent5"/>
            </a:solidFill>
            <a:prstDash val="solid"/>
            <a:round/>
            <a:headEnd/>
            <a:tailEnd/>
          </a:ln>
        </xdr:spPr>
      </xdr:sp>
      <xdr:sp macro="" textlink="">
        <xdr:nvSpPr>
          <xdr:cNvPr id="105" name="Freeform 156"/>
          <xdr:cNvSpPr>
            <a:spLocks/>
          </xdr:cNvSpPr>
        </xdr:nvSpPr>
        <xdr:spPr bwMode="auto">
          <a:xfrm>
            <a:off x="572" y="810"/>
            <a:ext cx="23" cy="16"/>
          </a:xfrm>
          <a:custGeom>
            <a:avLst/>
            <a:gdLst>
              <a:gd name="T0" fmla="*/ 21 w 93"/>
              <a:gd name="T1" fmla="*/ 0 h 66"/>
              <a:gd name="T2" fmla="*/ 47 w 93"/>
              <a:gd name="T3" fmla="*/ 1 h 66"/>
              <a:gd name="T4" fmla="*/ 71 w 93"/>
              <a:gd name="T5" fmla="*/ 8 h 66"/>
              <a:gd name="T6" fmla="*/ 92 w 93"/>
              <a:gd name="T7" fmla="*/ 19 h 66"/>
              <a:gd name="T8" fmla="*/ 92 w 93"/>
              <a:gd name="T9" fmla="*/ 27 h 66"/>
              <a:gd name="T10" fmla="*/ 93 w 93"/>
              <a:gd name="T11" fmla="*/ 35 h 66"/>
              <a:gd name="T12" fmla="*/ 74 w 93"/>
              <a:gd name="T13" fmla="*/ 50 h 66"/>
              <a:gd name="T14" fmla="*/ 52 w 93"/>
              <a:gd name="T15" fmla="*/ 60 h 66"/>
              <a:gd name="T16" fmla="*/ 27 w 93"/>
              <a:gd name="T17" fmla="*/ 66 h 66"/>
              <a:gd name="T18" fmla="*/ 8 w 93"/>
              <a:gd name="T19" fmla="*/ 65 h 66"/>
              <a:gd name="T20" fmla="*/ 9 w 93"/>
              <a:gd name="T21" fmla="*/ 60 h 66"/>
              <a:gd name="T22" fmla="*/ 9 w 93"/>
              <a:gd name="T23" fmla="*/ 40 h 66"/>
              <a:gd name="T24" fmla="*/ 7 w 93"/>
              <a:gd name="T25" fmla="*/ 20 h 66"/>
              <a:gd name="T26" fmla="*/ 0 w 93"/>
              <a:gd name="T27" fmla="*/ 5 h 66"/>
              <a:gd name="T28" fmla="*/ 21 w 93"/>
              <a:gd name="T29" fmla="*/ 0 h 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3" h="66">
                <a:moveTo>
                  <a:pt x="21" y="0"/>
                </a:moveTo>
                <a:lnTo>
                  <a:pt x="47" y="1"/>
                </a:lnTo>
                <a:lnTo>
                  <a:pt x="71" y="8"/>
                </a:lnTo>
                <a:lnTo>
                  <a:pt x="92" y="19"/>
                </a:lnTo>
                <a:lnTo>
                  <a:pt x="92" y="27"/>
                </a:lnTo>
                <a:lnTo>
                  <a:pt x="93" y="35"/>
                </a:lnTo>
                <a:lnTo>
                  <a:pt x="74" y="50"/>
                </a:lnTo>
                <a:lnTo>
                  <a:pt x="52" y="60"/>
                </a:lnTo>
                <a:lnTo>
                  <a:pt x="27" y="66"/>
                </a:lnTo>
                <a:lnTo>
                  <a:pt x="8" y="65"/>
                </a:lnTo>
                <a:lnTo>
                  <a:pt x="9" y="60"/>
                </a:lnTo>
                <a:lnTo>
                  <a:pt x="9" y="40"/>
                </a:lnTo>
                <a:lnTo>
                  <a:pt x="7" y="20"/>
                </a:lnTo>
                <a:lnTo>
                  <a:pt x="0" y="5"/>
                </a:lnTo>
                <a:lnTo>
                  <a:pt x="21" y="0"/>
                </a:lnTo>
                <a:close/>
              </a:path>
            </a:pathLst>
          </a:custGeom>
          <a:solidFill>
            <a:schemeClr val="accent5"/>
          </a:solidFill>
          <a:ln w="0">
            <a:solidFill>
              <a:schemeClr val="accent5"/>
            </a:solidFill>
            <a:prstDash val="solid"/>
            <a:round/>
            <a:headEnd/>
            <a:tailEnd/>
          </a:ln>
        </xdr:spPr>
      </xdr:sp>
      <xdr:sp macro="" textlink="">
        <xdr:nvSpPr>
          <xdr:cNvPr id="106" name="Freeform 157"/>
          <xdr:cNvSpPr>
            <a:spLocks/>
          </xdr:cNvSpPr>
        </xdr:nvSpPr>
        <xdr:spPr bwMode="auto">
          <a:xfrm>
            <a:off x="596" y="785"/>
            <a:ext cx="16" cy="20"/>
          </a:xfrm>
          <a:custGeom>
            <a:avLst/>
            <a:gdLst>
              <a:gd name="T0" fmla="*/ 0 w 65"/>
              <a:gd name="T1" fmla="*/ 0 h 80"/>
              <a:gd name="T2" fmla="*/ 64 w 65"/>
              <a:gd name="T3" fmla="*/ 0 h 80"/>
              <a:gd name="T4" fmla="*/ 65 w 65"/>
              <a:gd name="T5" fmla="*/ 8 h 80"/>
              <a:gd name="T6" fmla="*/ 64 w 65"/>
              <a:gd name="T7" fmla="*/ 34 h 80"/>
              <a:gd name="T8" fmla="*/ 57 w 65"/>
              <a:gd name="T9" fmla="*/ 57 h 80"/>
              <a:gd name="T10" fmla="*/ 46 w 65"/>
              <a:gd name="T11" fmla="*/ 79 h 80"/>
              <a:gd name="T12" fmla="*/ 37 w 65"/>
              <a:gd name="T13" fmla="*/ 79 h 80"/>
              <a:gd name="T14" fmla="*/ 29 w 65"/>
              <a:gd name="T15" fmla="*/ 80 h 80"/>
              <a:gd name="T16" fmla="*/ 15 w 65"/>
              <a:gd name="T17" fmla="*/ 60 h 80"/>
              <a:gd name="T18" fmla="*/ 5 w 65"/>
              <a:gd name="T19" fmla="*/ 39 h 80"/>
              <a:gd name="T20" fmla="*/ 0 w 65"/>
              <a:gd name="T21" fmla="*/ 14 h 80"/>
              <a:gd name="T22" fmla="*/ 0 w 65"/>
              <a:gd name="T23" fmla="*/ 7 h 80"/>
              <a:gd name="T24" fmla="*/ 0 w 65"/>
              <a:gd name="T25" fmla="*/ 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 h="80">
                <a:moveTo>
                  <a:pt x="0" y="0"/>
                </a:moveTo>
                <a:lnTo>
                  <a:pt x="64" y="0"/>
                </a:lnTo>
                <a:lnTo>
                  <a:pt x="65" y="8"/>
                </a:lnTo>
                <a:lnTo>
                  <a:pt x="64" y="34"/>
                </a:lnTo>
                <a:lnTo>
                  <a:pt x="57" y="57"/>
                </a:lnTo>
                <a:lnTo>
                  <a:pt x="46" y="79"/>
                </a:lnTo>
                <a:lnTo>
                  <a:pt x="37" y="79"/>
                </a:lnTo>
                <a:lnTo>
                  <a:pt x="29" y="80"/>
                </a:lnTo>
                <a:lnTo>
                  <a:pt x="15" y="60"/>
                </a:lnTo>
                <a:lnTo>
                  <a:pt x="5" y="39"/>
                </a:lnTo>
                <a:lnTo>
                  <a:pt x="0" y="14"/>
                </a:lnTo>
                <a:lnTo>
                  <a:pt x="0" y="7"/>
                </a:lnTo>
                <a:lnTo>
                  <a:pt x="0" y="0"/>
                </a:lnTo>
                <a:close/>
              </a:path>
            </a:pathLst>
          </a:custGeom>
          <a:solidFill>
            <a:schemeClr val="accent5"/>
          </a:solidFill>
          <a:ln w="0">
            <a:solidFill>
              <a:schemeClr val="accent5"/>
            </a:solidFill>
            <a:prstDash val="solid"/>
            <a:round/>
            <a:headEnd/>
            <a:tailEnd/>
          </a:ln>
        </xdr:spPr>
      </xdr:sp>
      <xdr:sp macro="" textlink="">
        <xdr:nvSpPr>
          <xdr:cNvPr id="107" name="Freeform 158"/>
          <xdr:cNvSpPr>
            <a:spLocks/>
          </xdr:cNvSpPr>
        </xdr:nvSpPr>
        <xdr:spPr bwMode="auto">
          <a:xfrm>
            <a:off x="611" y="806"/>
            <a:ext cx="4" cy="3"/>
          </a:xfrm>
          <a:custGeom>
            <a:avLst/>
            <a:gdLst>
              <a:gd name="T0" fmla="*/ 0 w 13"/>
              <a:gd name="T1" fmla="*/ 0 h 14"/>
              <a:gd name="T2" fmla="*/ 4 w 13"/>
              <a:gd name="T3" fmla="*/ 4 h 14"/>
              <a:gd name="T4" fmla="*/ 9 w 13"/>
              <a:gd name="T5" fmla="*/ 7 h 14"/>
              <a:gd name="T6" fmla="*/ 13 w 13"/>
              <a:gd name="T7" fmla="*/ 12 h 14"/>
              <a:gd name="T8" fmla="*/ 7 w 13"/>
              <a:gd name="T9" fmla="*/ 13 h 14"/>
              <a:gd name="T10" fmla="*/ 0 w 13"/>
              <a:gd name="T11" fmla="*/ 14 h 14"/>
              <a:gd name="T12" fmla="*/ 0 w 13"/>
              <a:gd name="T13" fmla="*/ 7 h 14"/>
              <a:gd name="T14" fmla="*/ 0 w 13"/>
              <a:gd name="T15" fmla="*/ 0 h 1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3" h="14">
                <a:moveTo>
                  <a:pt x="0" y="0"/>
                </a:moveTo>
                <a:lnTo>
                  <a:pt x="4" y="4"/>
                </a:lnTo>
                <a:lnTo>
                  <a:pt x="9" y="7"/>
                </a:lnTo>
                <a:lnTo>
                  <a:pt x="13" y="12"/>
                </a:lnTo>
                <a:lnTo>
                  <a:pt x="7" y="13"/>
                </a:lnTo>
                <a:lnTo>
                  <a:pt x="0" y="14"/>
                </a:lnTo>
                <a:lnTo>
                  <a:pt x="0" y="7"/>
                </a:lnTo>
                <a:lnTo>
                  <a:pt x="0" y="0"/>
                </a:lnTo>
                <a:close/>
              </a:path>
            </a:pathLst>
          </a:custGeom>
          <a:solidFill>
            <a:schemeClr val="accent5"/>
          </a:solidFill>
          <a:ln w="0">
            <a:solidFill>
              <a:schemeClr val="accent5"/>
            </a:solidFill>
            <a:prstDash val="solid"/>
            <a:round/>
            <a:headEnd/>
            <a:tailEnd/>
          </a:ln>
        </xdr:spPr>
      </xdr:sp>
      <xdr:sp macro="" textlink="">
        <xdr:nvSpPr>
          <xdr:cNvPr id="108" name="Freeform 160"/>
          <xdr:cNvSpPr>
            <a:spLocks/>
          </xdr:cNvSpPr>
        </xdr:nvSpPr>
        <xdr:spPr bwMode="auto">
          <a:xfrm>
            <a:off x="596" y="807"/>
            <a:ext cx="3" cy="3"/>
          </a:xfrm>
          <a:custGeom>
            <a:avLst/>
            <a:gdLst>
              <a:gd name="T0" fmla="*/ 12 w 14"/>
              <a:gd name="T1" fmla="*/ 0 h 13"/>
              <a:gd name="T2" fmla="*/ 13 w 14"/>
              <a:gd name="T3" fmla="*/ 6 h 13"/>
              <a:gd name="T4" fmla="*/ 14 w 14"/>
              <a:gd name="T5" fmla="*/ 13 h 13"/>
              <a:gd name="T6" fmla="*/ 0 w 14"/>
              <a:gd name="T7" fmla="*/ 13 h 13"/>
              <a:gd name="T8" fmla="*/ 4 w 14"/>
              <a:gd name="T9" fmla="*/ 9 h 13"/>
              <a:gd name="T10" fmla="*/ 7 w 14"/>
              <a:gd name="T11" fmla="*/ 4 h 13"/>
              <a:gd name="T12" fmla="*/ 12 w 14"/>
              <a:gd name="T13" fmla="*/ 0 h 13"/>
            </a:gdLst>
            <a:ahLst/>
            <a:cxnLst>
              <a:cxn ang="0">
                <a:pos x="T0" y="T1"/>
              </a:cxn>
              <a:cxn ang="0">
                <a:pos x="T2" y="T3"/>
              </a:cxn>
              <a:cxn ang="0">
                <a:pos x="T4" y="T5"/>
              </a:cxn>
              <a:cxn ang="0">
                <a:pos x="T6" y="T7"/>
              </a:cxn>
              <a:cxn ang="0">
                <a:pos x="T8" y="T9"/>
              </a:cxn>
              <a:cxn ang="0">
                <a:pos x="T10" y="T11"/>
              </a:cxn>
              <a:cxn ang="0">
                <a:pos x="T12" y="T13"/>
              </a:cxn>
            </a:cxnLst>
            <a:rect l="0" t="0" r="r" b="b"/>
            <a:pathLst>
              <a:path w="14" h="13">
                <a:moveTo>
                  <a:pt x="12" y="0"/>
                </a:moveTo>
                <a:lnTo>
                  <a:pt x="13" y="6"/>
                </a:lnTo>
                <a:lnTo>
                  <a:pt x="14" y="13"/>
                </a:lnTo>
                <a:lnTo>
                  <a:pt x="0" y="13"/>
                </a:lnTo>
                <a:lnTo>
                  <a:pt x="4" y="9"/>
                </a:lnTo>
                <a:lnTo>
                  <a:pt x="7" y="4"/>
                </a:lnTo>
                <a:lnTo>
                  <a:pt x="12" y="0"/>
                </a:lnTo>
                <a:close/>
              </a:path>
            </a:pathLst>
          </a:custGeom>
          <a:solidFill>
            <a:schemeClr val="accent5"/>
          </a:solidFill>
          <a:ln w="0">
            <a:solidFill>
              <a:schemeClr val="accent5"/>
            </a:solidFill>
            <a:prstDash val="solid"/>
            <a:round/>
            <a:headEnd/>
            <a:tailEnd/>
          </a:ln>
        </xdr:spPr>
      </xdr:sp>
      <xdr:sp macro="" textlink="">
        <xdr:nvSpPr>
          <xdr:cNvPr id="109" name="Freeform 161"/>
          <xdr:cNvSpPr>
            <a:spLocks/>
          </xdr:cNvSpPr>
        </xdr:nvSpPr>
        <xdr:spPr bwMode="auto">
          <a:xfrm>
            <a:off x="611" y="785"/>
            <a:ext cx="25" cy="24"/>
          </a:xfrm>
          <a:custGeom>
            <a:avLst/>
            <a:gdLst>
              <a:gd name="T0" fmla="*/ 44 w 101"/>
              <a:gd name="T1" fmla="*/ 0 h 96"/>
              <a:gd name="T2" fmla="*/ 101 w 101"/>
              <a:gd name="T3" fmla="*/ 0 h 96"/>
              <a:gd name="T4" fmla="*/ 96 w 101"/>
              <a:gd name="T5" fmla="*/ 21 h 96"/>
              <a:gd name="T6" fmla="*/ 87 w 101"/>
              <a:gd name="T7" fmla="*/ 41 h 96"/>
              <a:gd name="T8" fmla="*/ 75 w 101"/>
              <a:gd name="T9" fmla="*/ 59 h 96"/>
              <a:gd name="T10" fmla="*/ 57 w 101"/>
              <a:gd name="T11" fmla="*/ 76 h 96"/>
              <a:gd name="T12" fmla="*/ 36 w 101"/>
              <a:gd name="T13" fmla="*/ 89 h 96"/>
              <a:gd name="T14" fmla="*/ 13 w 101"/>
              <a:gd name="T15" fmla="*/ 96 h 96"/>
              <a:gd name="T16" fmla="*/ 9 w 101"/>
              <a:gd name="T17" fmla="*/ 91 h 96"/>
              <a:gd name="T18" fmla="*/ 4 w 101"/>
              <a:gd name="T19" fmla="*/ 88 h 96"/>
              <a:gd name="T20" fmla="*/ 0 w 101"/>
              <a:gd name="T21" fmla="*/ 84 h 96"/>
              <a:gd name="T22" fmla="*/ 3 w 101"/>
              <a:gd name="T23" fmla="*/ 60 h 96"/>
              <a:gd name="T24" fmla="*/ 12 w 101"/>
              <a:gd name="T25" fmla="*/ 38 h 96"/>
              <a:gd name="T26" fmla="*/ 26 w 101"/>
              <a:gd name="T27" fmla="*/ 16 h 96"/>
              <a:gd name="T28" fmla="*/ 35 w 101"/>
              <a:gd name="T29" fmla="*/ 8 h 96"/>
              <a:gd name="T30" fmla="*/ 44 w 101"/>
              <a:gd name="T31" fmla="*/ 0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101" h="96">
                <a:moveTo>
                  <a:pt x="44" y="0"/>
                </a:moveTo>
                <a:lnTo>
                  <a:pt x="101" y="0"/>
                </a:lnTo>
                <a:lnTo>
                  <a:pt x="96" y="21"/>
                </a:lnTo>
                <a:lnTo>
                  <a:pt x="87" y="41"/>
                </a:lnTo>
                <a:lnTo>
                  <a:pt x="75" y="59"/>
                </a:lnTo>
                <a:lnTo>
                  <a:pt x="57" y="76"/>
                </a:lnTo>
                <a:lnTo>
                  <a:pt x="36" y="89"/>
                </a:lnTo>
                <a:lnTo>
                  <a:pt x="13" y="96"/>
                </a:lnTo>
                <a:lnTo>
                  <a:pt x="9" y="91"/>
                </a:lnTo>
                <a:lnTo>
                  <a:pt x="4" y="88"/>
                </a:lnTo>
                <a:lnTo>
                  <a:pt x="0" y="84"/>
                </a:lnTo>
                <a:lnTo>
                  <a:pt x="3" y="60"/>
                </a:lnTo>
                <a:lnTo>
                  <a:pt x="12" y="38"/>
                </a:lnTo>
                <a:lnTo>
                  <a:pt x="26" y="16"/>
                </a:lnTo>
                <a:lnTo>
                  <a:pt x="35" y="8"/>
                </a:lnTo>
                <a:lnTo>
                  <a:pt x="44" y="0"/>
                </a:lnTo>
                <a:close/>
              </a:path>
            </a:pathLst>
          </a:custGeom>
          <a:solidFill>
            <a:schemeClr val="accent5"/>
          </a:solidFill>
          <a:ln w="0">
            <a:solidFill>
              <a:schemeClr val="accent5"/>
            </a:solidFill>
            <a:prstDash val="solid"/>
            <a:round/>
            <a:headEnd/>
            <a:tailEnd/>
          </a:ln>
        </xdr:spPr>
      </xdr:sp>
      <xdr:sp macro="" textlink="">
        <xdr:nvSpPr>
          <xdr:cNvPr id="110" name="Freeform 162"/>
          <xdr:cNvSpPr>
            <a:spLocks/>
          </xdr:cNvSpPr>
        </xdr:nvSpPr>
        <xdr:spPr bwMode="auto">
          <a:xfrm>
            <a:off x="559" y="811"/>
            <a:ext cx="15" cy="15"/>
          </a:xfrm>
          <a:custGeom>
            <a:avLst/>
            <a:gdLst>
              <a:gd name="T0" fmla="*/ 53 w 62"/>
              <a:gd name="T1" fmla="*/ 0 h 60"/>
              <a:gd name="T2" fmla="*/ 60 w 62"/>
              <a:gd name="T3" fmla="*/ 15 h 60"/>
              <a:gd name="T4" fmla="*/ 62 w 62"/>
              <a:gd name="T5" fmla="*/ 35 h 60"/>
              <a:gd name="T6" fmla="*/ 62 w 62"/>
              <a:gd name="T7" fmla="*/ 55 h 60"/>
              <a:gd name="T8" fmla="*/ 61 w 62"/>
              <a:gd name="T9" fmla="*/ 60 h 60"/>
              <a:gd name="T10" fmla="*/ 38 w 62"/>
              <a:gd name="T11" fmla="*/ 55 h 60"/>
              <a:gd name="T12" fmla="*/ 18 w 62"/>
              <a:gd name="T13" fmla="*/ 47 h 60"/>
              <a:gd name="T14" fmla="*/ 0 w 62"/>
              <a:gd name="T15" fmla="*/ 34 h 60"/>
              <a:gd name="T16" fmla="*/ 15 w 62"/>
              <a:gd name="T17" fmla="*/ 19 h 60"/>
              <a:gd name="T18" fmla="*/ 33 w 62"/>
              <a:gd name="T19" fmla="*/ 7 h 60"/>
              <a:gd name="T20" fmla="*/ 53 w 62"/>
              <a:gd name="T21" fmla="*/ 0 h 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62" h="60">
                <a:moveTo>
                  <a:pt x="53" y="0"/>
                </a:moveTo>
                <a:lnTo>
                  <a:pt x="60" y="15"/>
                </a:lnTo>
                <a:lnTo>
                  <a:pt x="62" y="35"/>
                </a:lnTo>
                <a:lnTo>
                  <a:pt x="62" y="55"/>
                </a:lnTo>
                <a:lnTo>
                  <a:pt x="61" y="60"/>
                </a:lnTo>
                <a:lnTo>
                  <a:pt x="38" y="55"/>
                </a:lnTo>
                <a:lnTo>
                  <a:pt x="18" y="47"/>
                </a:lnTo>
                <a:lnTo>
                  <a:pt x="0" y="34"/>
                </a:lnTo>
                <a:lnTo>
                  <a:pt x="15" y="19"/>
                </a:lnTo>
                <a:lnTo>
                  <a:pt x="33" y="7"/>
                </a:lnTo>
                <a:lnTo>
                  <a:pt x="53" y="0"/>
                </a:lnTo>
                <a:close/>
              </a:path>
            </a:pathLst>
          </a:custGeom>
          <a:solidFill>
            <a:schemeClr val="accent5">
              <a:lumMod val="75000"/>
            </a:schemeClr>
          </a:solidFill>
          <a:ln w="0">
            <a:solidFill>
              <a:schemeClr val="accent5">
                <a:lumMod val="75000"/>
              </a:schemeClr>
            </a:solidFill>
            <a:prstDash val="solid"/>
            <a:round/>
            <a:headEnd/>
            <a:tailEnd/>
          </a:ln>
        </xdr:spPr>
      </xdr:sp>
      <xdr:sp macro="" textlink="">
        <xdr:nvSpPr>
          <xdr:cNvPr id="111" name="Freeform 163"/>
          <xdr:cNvSpPr>
            <a:spLocks/>
          </xdr:cNvSpPr>
        </xdr:nvSpPr>
        <xdr:spPr bwMode="auto">
          <a:xfrm>
            <a:off x="570" y="785"/>
            <a:ext cx="11" cy="17"/>
          </a:xfrm>
          <a:custGeom>
            <a:avLst/>
            <a:gdLst>
              <a:gd name="T0" fmla="*/ 0 w 44"/>
              <a:gd name="T1" fmla="*/ 0 h 67"/>
              <a:gd name="T2" fmla="*/ 9 w 44"/>
              <a:gd name="T3" fmla="*/ 0 h 67"/>
              <a:gd name="T4" fmla="*/ 29 w 44"/>
              <a:gd name="T5" fmla="*/ 12 h 67"/>
              <a:gd name="T6" fmla="*/ 44 w 44"/>
              <a:gd name="T7" fmla="*/ 25 h 67"/>
              <a:gd name="T8" fmla="*/ 44 w 44"/>
              <a:gd name="T9" fmla="*/ 28 h 67"/>
              <a:gd name="T10" fmla="*/ 43 w 44"/>
              <a:gd name="T11" fmla="*/ 31 h 67"/>
              <a:gd name="T12" fmla="*/ 41 w 44"/>
              <a:gd name="T13" fmla="*/ 41 h 67"/>
              <a:gd name="T14" fmla="*/ 36 w 44"/>
              <a:gd name="T15" fmla="*/ 55 h 67"/>
              <a:gd name="T16" fmla="*/ 29 w 44"/>
              <a:gd name="T17" fmla="*/ 67 h 67"/>
              <a:gd name="T18" fmla="*/ 15 w 44"/>
              <a:gd name="T19" fmla="*/ 47 h 67"/>
              <a:gd name="T20" fmla="*/ 5 w 44"/>
              <a:gd name="T21" fmla="*/ 24 h 67"/>
              <a:gd name="T22" fmla="*/ 0 w 44"/>
              <a:gd name="T23"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4" h="67">
                <a:moveTo>
                  <a:pt x="0" y="0"/>
                </a:moveTo>
                <a:lnTo>
                  <a:pt x="9" y="0"/>
                </a:lnTo>
                <a:lnTo>
                  <a:pt x="29" y="12"/>
                </a:lnTo>
                <a:lnTo>
                  <a:pt x="44" y="25"/>
                </a:lnTo>
                <a:lnTo>
                  <a:pt x="44" y="28"/>
                </a:lnTo>
                <a:lnTo>
                  <a:pt x="43" y="31"/>
                </a:lnTo>
                <a:lnTo>
                  <a:pt x="41" y="41"/>
                </a:lnTo>
                <a:lnTo>
                  <a:pt x="36" y="55"/>
                </a:lnTo>
                <a:lnTo>
                  <a:pt x="29" y="67"/>
                </a:lnTo>
                <a:lnTo>
                  <a:pt x="15" y="47"/>
                </a:lnTo>
                <a:lnTo>
                  <a:pt x="5" y="24"/>
                </a:lnTo>
                <a:lnTo>
                  <a:pt x="0" y="0"/>
                </a:lnTo>
                <a:close/>
              </a:path>
            </a:pathLst>
          </a:custGeom>
          <a:solidFill>
            <a:schemeClr val="accent5">
              <a:lumMod val="75000"/>
            </a:schemeClr>
          </a:solidFill>
          <a:ln w="0">
            <a:solidFill>
              <a:schemeClr val="accent5">
                <a:lumMod val="75000"/>
              </a:schemeClr>
            </a:solidFill>
            <a:prstDash val="solid"/>
            <a:round/>
            <a:headEnd/>
            <a:tailEnd/>
          </a:ln>
        </xdr:spPr>
      </xdr:sp>
      <xdr:sp macro="" textlink="">
        <xdr:nvSpPr>
          <xdr:cNvPr id="112" name="Freeform 164"/>
          <xdr:cNvSpPr>
            <a:spLocks/>
          </xdr:cNvSpPr>
        </xdr:nvSpPr>
        <xdr:spPr bwMode="auto">
          <a:xfrm>
            <a:off x="148" y="834"/>
            <a:ext cx="1" cy="1"/>
          </a:xfrm>
          <a:custGeom>
            <a:avLst/>
            <a:gdLst>
              <a:gd name="T0" fmla="*/ 1 w 3"/>
              <a:gd name="T1" fmla="*/ 0 h 2"/>
              <a:gd name="T2" fmla="*/ 3 w 3"/>
              <a:gd name="T3" fmla="*/ 2 h 2"/>
              <a:gd name="T4" fmla="*/ 0 w 3"/>
              <a:gd name="T5" fmla="*/ 2 h 2"/>
              <a:gd name="T6" fmla="*/ 1 w 3"/>
              <a:gd name="T7" fmla="*/ 0 h 2"/>
            </a:gdLst>
            <a:ahLst/>
            <a:cxnLst>
              <a:cxn ang="0">
                <a:pos x="T0" y="T1"/>
              </a:cxn>
              <a:cxn ang="0">
                <a:pos x="T2" y="T3"/>
              </a:cxn>
              <a:cxn ang="0">
                <a:pos x="T4" y="T5"/>
              </a:cxn>
              <a:cxn ang="0">
                <a:pos x="T6" y="T7"/>
              </a:cxn>
            </a:cxnLst>
            <a:rect l="0" t="0" r="r" b="b"/>
            <a:pathLst>
              <a:path w="3" h="2">
                <a:moveTo>
                  <a:pt x="1" y="0"/>
                </a:moveTo>
                <a:lnTo>
                  <a:pt x="3" y="2"/>
                </a:lnTo>
                <a:lnTo>
                  <a:pt x="0" y="2"/>
                </a:lnTo>
                <a:lnTo>
                  <a:pt x="1" y="0"/>
                </a:lnTo>
                <a:close/>
              </a:path>
            </a:pathLst>
          </a:custGeom>
          <a:solidFill>
            <a:srgbClr val="AB5AFF"/>
          </a:solidFill>
          <a:ln w="0">
            <a:noFill/>
            <a:prstDash val="solid"/>
            <a:round/>
            <a:headEnd/>
            <a:tailEnd/>
          </a:ln>
        </xdr:spPr>
      </xdr:sp>
      <xdr:sp macro="" textlink="">
        <xdr:nvSpPr>
          <xdr:cNvPr id="113" name="Freeform 165"/>
          <xdr:cNvSpPr>
            <a:spLocks/>
          </xdr:cNvSpPr>
        </xdr:nvSpPr>
        <xdr:spPr bwMode="auto">
          <a:xfrm>
            <a:off x="148" y="818"/>
            <a:ext cx="20" cy="17"/>
          </a:xfrm>
          <a:custGeom>
            <a:avLst/>
            <a:gdLst>
              <a:gd name="T0" fmla="*/ 68 w 78"/>
              <a:gd name="T1" fmla="*/ 0 h 67"/>
              <a:gd name="T2" fmla="*/ 74 w 78"/>
              <a:gd name="T3" fmla="*/ 4 h 67"/>
              <a:gd name="T4" fmla="*/ 77 w 78"/>
              <a:gd name="T5" fmla="*/ 11 h 67"/>
              <a:gd name="T6" fmla="*/ 78 w 78"/>
              <a:gd name="T7" fmla="*/ 19 h 67"/>
              <a:gd name="T8" fmla="*/ 78 w 78"/>
              <a:gd name="T9" fmla="*/ 27 h 67"/>
              <a:gd name="T10" fmla="*/ 78 w 78"/>
              <a:gd name="T11" fmla="*/ 31 h 67"/>
              <a:gd name="T12" fmla="*/ 78 w 78"/>
              <a:gd name="T13" fmla="*/ 35 h 67"/>
              <a:gd name="T14" fmla="*/ 76 w 78"/>
              <a:gd name="T15" fmla="*/ 49 h 67"/>
              <a:gd name="T16" fmla="*/ 76 w 78"/>
              <a:gd name="T17" fmla="*/ 62 h 67"/>
              <a:gd name="T18" fmla="*/ 77 w 78"/>
              <a:gd name="T19" fmla="*/ 65 h 67"/>
              <a:gd name="T20" fmla="*/ 78 w 78"/>
              <a:gd name="T21" fmla="*/ 67 h 67"/>
              <a:gd name="T22" fmla="*/ 2 w 78"/>
              <a:gd name="T23" fmla="*/ 67 h 67"/>
              <a:gd name="T24" fmla="*/ 0 w 78"/>
              <a:gd name="T25" fmla="*/ 65 h 67"/>
              <a:gd name="T26" fmla="*/ 10 w 78"/>
              <a:gd name="T27" fmla="*/ 47 h 67"/>
              <a:gd name="T28" fmla="*/ 19 w 78"/>
              <a:gd name="T29" fmla="*/ 33 h 67"/>
              <a:gd name="T30" fmla="*/ 30 w 78"/>
              <a:gd name="T31" fmla="*/ 22 h 67"/>
              <a:gd name="T32" fmla="*/ 43 w 78"/>
              <a:gd name="T33" fmla="*/ 11 h 67"/>
              <a:gd name="T34" fmla="*/ 47 w 78"/>
              <a:gd name="T35" fmla="*/ 8 h 67"/>
              <a:gd name="T36" fmla="*/ 54 w 78"/>
              <a:gd name="T37" fmla="*/ 4 h 67"/>
              <a:gd name="T38" fmla="*/ 62 w 78"/>
              <a:gd name="T39" fmla="*/ 0 h 67"/>
              <a:gd name="T40" fmla="*/ 68 w 78"/>
              <a:gd name="T41"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78" h="67">
                <a:moveTo>
                  <a:pt x="68" y="0"/>
                </a:moveTo>
                <a:lnTo>
                  <a:pt x="74" y="4"/>
                </a:lnTo>
                <a:lnTo>
                  <a:pt x="77" y="11"/>
                </a:lnTo>
                <a:lnTo>
                  <a:pt x="78" y="19"/>
                </a:lnTo>
                <a:lnTo>
                  <a:pt x="78" y="27"/>
                </a:lnTo>
                <a:lnTo>
                  <a:pt x="78" y="31"/>
                </a:lnTo>
                <a:lnTo>
                  <a:pt x="78" y="35"/>
                </a:lnTo>
                <a:lnTo>
                  <a:pt x="76" y="49"/>
                </a:lnTo>
                <a:lnTo>
                  <a:pt x="76" y="62"/>
                </a:lnTo>
                <a:lnTo>
                  <a:pt x="77" y="65"/>
                </a:lnTo>
                <a:lnTo>
                  <a:pt x="78" y="67"/>
                </a:lnTo>
                <a:lnTo>
                  <a:pt x="2" y="67"/>
                </a:lnTo>
                <a:lnTo>
                  <a:pt x="0" y="65"/>
                </a:lnTo>
                <a:lnTo>
                  <a:pt x="10" y="47"/>
                </a:lnTo>
                <a:lnTo>
                  <a:pt x="19" y="33"/>
                </a:lnTo>
                <a:lnTo>
                  <a:pt x="30" y="22"/>
                </a:lnTo>
                <a:lnTo>
                  <a:pt x="43" y="11"/>
                </a:lnTo>
                <a:lnTo>
                  <a:pt x="47" y="8"/>
                </a:lnTo>
                <a:lnTo>
                  <a:pt x="54" y="4"/>
                </a:lnTo>
                <a:lnTo>
                  <a:pt x="62" y="0"/>
                </a:lnTo>
                <a:lnTo>
                  <a:pt x="68" y="0"/>
                </a:lnTo>
                <a:close/>
              </a:path>
            </a:pathLst>
          </a:custGeom>
          <a:solidFill>
            <a:schemeClr val="accent4">
              <a:lumMod val="75000"/>
            </a:schemeClr>
          </a:solidFill>
          <a:ln w="0">
            <a:solidFill>
              <a:schemeClr val="accent4">
                <a:lumMod val="75000"/>
              </a:schemeClr>
            </a:solidFill>
            <a:prstDash val="solid"/>
            <a:round/>
            <a:headEnd/>
            <a:tailEnd/>
          </a:ln>
        </xdr:spPr>
      </xdr:sp>
      <xdr:sp macro="" textlink="">
        <xdr:nvSpPr>
          <xdr:cNvPr id="114" name="Freeform 166"/>
          <xdr:cNvSpPr>
            <a:spLocks/>
          </xdr:cNvSpPr>
        </xdr:nvSpPr>
        <xdr:spPr bwMode="auto">
          <a:xfrm>
            <a:off x="124" y="830"/>
            <a:ext cx="4" cy="5"/>
          </a:xfrm>
          <a:custGeom>
            <a:avLst/>
            <a:gdLst>
              <a:gd name="T0" fmla="*/ 9 w 17"/>
              <a:gd name="T1" fmla="*/ 0 h 19"/>
              <a:gd name="T2" fmla="*/ 13 w 17"/>
              <a:gd name="T3" fmla="*/ 11 h 19"/>
              <a:gd name="T4" fmla="*/ 17 w 17"/>
              <a:gd name="T5" fmla="*/ 19 h 19"/>
              <a:gd name="T6" fmla="*/ 0 w 17"/>
              <a:gd name="T7" fmla="*/ 19 h 19"/>
              <a:gd name="T8" fmla="*/ 5 w 17"/>
              <a:gd name="T9" fmla="*/ 11 h 19"/>
              <a:gd name="T10" fmla="*/ 9 w 17"/>
              <a:gd name="T11" fmla="*/ 0 h 19"/>
            </a:gdLst>
            <a:ahLst/>
            <a:cxnLst>
              <a:cxn ang="0">
                <a:pos x="T0" y="T1"/>
              </a:cxn>
              <a:cxn ang="0">
                <a:pos x="T2" y="T3"/>
              </a:cxn>
              <a:cxn ang="0">
                <a:pos x="T4" y="T5"/>
              </a:cxn>
              <a:cxn ang="0">
                <a:pos x="T6" y="T7"/>
              </a:cxn>
              <a:cxn ang="0">
                <a:pos x="T8" y="T9"/>
              </a:cxn>
              <a:cxn ang="0">
                <a:pos x="T10" y="T11"/>
              </a:cxn>
            </a:cxnLst>
            <a:rect l="0" t="0" r="r" b="b"/>
            <a:pathLst>
              <a:path w="17" h="19">
                <a:moveTo>
                  <a:pt x="9" y="0"/>
                </a:moveTo>
                <a:lnTo>
                  <a:pt x="13" y="11"/>
                </a:lnTo>
                <a:lnTo>
                  <a:pt x="17" y="19"/>
                </a:lnTo>
                <a:lnTo>
                  <a:pt x="0" y="19"/>
                </a:lnTo>
                <a:lnTo>
                  <a:pt x="5" y="11"/>
                </a:lnTo>
                <a:lnTo>
                  <a:pt x="9" y="0"/>
                </a:lnTo>
                <a:close/>
              </a:path>
            </a:pathLst>
          </a:custGeom>
          <a:solidFill>
            <a:schemeClr val="accent1"/>
          </a:solidFill>
          <a:ln w="0">
            <a:solidFill>
              <a:schemeClr val="accent1"/>
            </a:solidFill>
            <a:prstDash val="solid"/>
            <a:round/>
            <a:headEnd/>
            <a:tailEnd/>
          </a:ln>
        </xdr:spPr>
      </xdr:sp>
      <xdr:sp macro="" textlink="">
        <xdr:nvSpPr>
          <xdr:cNvPr id="115" name="Freeform 167"/>
          <xdr:cNvSpPr>
            <a:spLocks/>
          </xdr:cNvSpPr>
        </xdr:nvSpPr>
        <xdr:spPr bwMode="auto">
          <a:xfrm>
            <a:off x="88" y="822"/>
            <a:ext cx="7" cy="7"/>
          </a:xfrm>
          <a:custGeom>
            <a:avLst/>
            <a:gdLst>
              <a:gd name="T0" fmla="*/ 0 w 29"/>
              <a:gd name="T1" fmla="*/ 0 h 29"/>
              <a:gd name="T2" fmla="*/ 8 w 29"/>
              <a:gd name="T3" fmla="*/ 4 h 29"/>
              <a:gd name="T4" fmla="*/ 15 w 29"/>
              <a:gd name="T5" fmla="*/ 6 h 29"/>
              <a:gd name="T6" fmla="*/ 21 w 29"/>
              <a:gd name="T7" fmla="*/ 4 h 29"/>
              <a:gd name="T8" fmla="*/ 29 w 29"/>
              <a:gd name="T9" fmla="*/ 1 h 29"/>
              <a:gd name="T10" fmla="*/ 26 w 29"/>
              <a:gd name="T11" fmla="*/ 9 h 29"/>
              <a:gd name="T12" fmla="*/ 23 w 29"/>
              <a:gd name="T13" fmla="*/ 16 h 29"/>
              <a:gd name="T14" fmla="*/ 25 w 29"/>
              <a:gd name="T15" fmla="*/ 21 h 29"/>
              <a:gd name="T16" fmla="*/ 28 w 29"/>
              <a:gd name="T17" fmla="*/ 29 h 29"/>
              <a:gd name="T18" fmla="*/ 20 w 29"/>
              <a:gd name="T19" fmla="*/ 26 h 29"/>
              <a:gd name="T20" fmla="*/ 15 w 29"/>
              <a:gd name="T21" fmla="*/ 25 h 29"/>
              <a:gd name="T22" fmla="*/ 8 w 29"/>
              <a:gd name="T23" fmla="*/ 26 h 29"/>
              <a:gd name="T24" fmla="*/ 0 w 29"/>
              <a:gd name="T25" fmla="*/ 29 h 29"/>
              <a:gd name="T26" fmla="*/ 3 w 29"/>
              <a:gd name="T27" fmla="*/ 21 h 29"/>
              <a:gd name="T28" fmla="*/ 4 w 29"/>
              <a:gd name="T29" fmla="*/ 15 h 29"/>
              <a:gd name="T30" fmla="*/ 3 w 29"/>
              <a:gd name="T31" fmla="*/ 9 h 29"/>
              <a:gd name="T32" fmla="*/ 0 w 29"/>
              <a:gd name="T33" fmla="*/ 0 h 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29" h="29">
                <a:moveTo>
                  <a:pt x="0" y="0"/>
                </a:moveTo>
                <a:lnTo>
                  <a:pt x="8" y="4"/>
                </a:lnTo>
                <a:lnTo>
                  <a:pt x="15" y="6"/>
                </a:lnTo>
                <a:lnTo>
                  <a:pt x="21" y="4"/>
                </a:lnTo>
                <a:lnTo>
                  <a:pt x="29" y="1"/>
                </a:lnTo>
                <a:lnTo>
                  <a:pt x="26" y="9"/>
                </a:lnTo>
                <a:lnTo>
                  <a:pt x="23" y="16"/>
                </a:lnTo>
                <a:lnTo>
                  <a:pt x="25" y="21"/>
                </a:lnTo>
                <a:lnTo>
                  <a:pt x="28" y="29"/>
                </a:lnTo>
                <a:lnTo>
                  <a:pt x="20" y="26"/>
                </a:lnTo>
                <a:lnTo>
                  <a:pt x="15" y="25"/>
                </a:lnTo>
                <a:lnTo>
                  <a:pt x="8" y="26"/>
                </a:lnTo>
                <a:lnTo>
                  <a:pt x="0" y="29"/>
                </a:lnTo>
                <a:lnTo>
                  <a:pt x="3" y="21"/>
                </a:lnTo>
                <a:lnTo>
                  <a:pt x="4" y="15"/>
                </a:lnTo>
                <a:lnTo>
                  <a:pt x="3" y="9"/>
                </a:lnTo>
                <a:lnTo>
                  <a:pt x="0" y="0"/>
                </a:lnTo>
                <a:close/>
              </a:path>
            </a:pathLst>
          </a:custGeom>
          <a:solidFill>
            <a:schemeClr val="accent2"/>
          </a:solidFill>
          <a:ln w="0">
            <a:solidFill>
              <a:schemeClr val="accent2"/>
            </a:solidFill>
            <a:prstDash val="solid"/>
            <a:round/>
            <a:headEnd/>
            <a:tailEnd/>
          </a:ln>
        </xdr:spPr>
      </xdr:sp>
      <xdr:sp macro="" textlink="">
        <xdr:nvSpPr>
          <xdr:cNvPr id="116" name="Freeform 168"/>
          <xdr:cNvSpPr>
            <a:spLocks/>
          </xdr:cNvSpPr>
        </xdr:nvSpPr>
        <xdr:spPr bwMode="auto">
          <a:xfrm>
            <a:off x="640" y="785"/>
            <a:ext cx="30" cy="21"/>
          </a:xfrm>
          <a:custGeom>
            <a:avLst/>
            <a:gdLst>
              <a:gd name="T0" fmla="*/ 43 w 119"/>
              <a:gd name="T1" fmla="*/ 0 h 84"/>
              <a:gd name="T2" fmla="*/ 75 w 119"/>
              <a:gd name="T3" fmla="*/ 0 h 84"/>
              <a:gd name="T4" fmla="*/ 85 w 119"/>
              <a:gd name="T5" fmla="*/ 9 h 84"/>
              <a:gd name="T6" fmla="*/ 100 w 119"/>
              <a:gd name="T7" fmla="*/ 17 h 84"/>
              <a:gd name="T8" fmla="*/ 119 w 119"/>
              <a:gd name="T9" fmla="*/ 24 h 84"/>
              <a:gd name="T10" fmla="*/ 99 w 119"/>
              <a:gd name="T11" fmla="*/ 32 h 84"/>
              <a:gd name="T12" fmla="*/ 84 w 119"/>
              <a:gd name="T13" fmla="*/ 40 h 84"/>
              <a:gd name="T14" fmla="*/ 74 w 119"/>
              <a:gd name="T15" fmla="*/ 50 h 84"/>
              <a:gd name="T16" fmla="*/ 66 w 119"/>
              <a:gd name="T17" fmla="*/ 65 h 84"/>
              <a:gd name="T18" fmla="*/ 60 w 119"/>
              <a:gd name="T19" fmla="*/ 84 h 84"/>
              <a:gd name="T20" fmla="*/ 52 w 119"/>
              <a:gd name="T21" fmla="*/ 65 h 84"/>
              <a:gd name="T22" fmla="*/ 44 w 119"/>
              <a:gd name="T23" fmla="*/ 50 h 84"/>
              <a:gd name="T24" fmla="*/ 34 w 119"/>
              <a:gd name="T25" fmla="*/ 40 h 84"/>
              <a:gd name="T26" fmla="*/ 19 w 119"/>
              <a:gd name="T27" fmla="*/ 32 h 84"/>
              <a:gd name="T28" fmla="*/ 0 w 119"/>
              <a:gd name="T29" fmla="*/ 24 h 84"/>
              <a:gd name="T30" fmla="*/ 19 w 119"/>
              <a:gd name="T31" fmla="*/ 17 h 84"/>
              <a:gd name="T32" fmla="*/ 33 w 119"/>
              <a:gd name="T33" fmla="*/ 9 h 84"/>
              <a:gd name="T34" fmla="*/ 43 w 119"/>
              <a:gd name="T35" fmla="*/ 0 h 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119" h="84">
                <a:moveTo>
                  <a:pt x="43" y="0"/>
                </a:moveTo>
                <a:lnTo>
                  <a:pt x="75" y="0"/>
                </a:lnTo>
                <a:lnTo>
                  <a:pt x="85" y="9"/>
                </a:lnTo>
                <a:lnTo>
                  <a:pt x="100" y="17"/>
                </a:lnTo>
                <a:lnTo>
                  <a:pt x="119" y="24"/>
                </a:lnTo>
                <a:lnTo>
                  <a:pt x="99" y="32"/>
                </a:lnTo>
                <a:lnTo>
                  <a:pt x="84" y="40"/>
                </a:lnTo>
                <a:lnTo>
                  <a:pt x="74" y="50"/>
                </a:lnTo>
                <a:lnTo>
                  <a:pt x="66" y="65"/>
                </a:lnTo>
                <a:lnTo>
                  <a:pt x="60" y="84"/>
                </a:lnTo>
                <a:lnTo>
                  <a:pt x="52" y="65"/>
                </a:lnTo>
                <a:lnTo>
                  <a:pt x="44" y="50"/>
                </a:lnTo>
                <a:lnTo>
                  <a:pt x="34" y="40"/>
                </a:lnTo>
                <a:lnTo>
                  <a:pt x="19" y="32"/>
                </a:lnTo>
                <a:lnTo>
                  <a:pt x="0" y="24"/>
                </a:lnTo>
                <a:lnTo>
                  <a:pt x="19" y="17"/>
                </a:lnTo>
                <a:lnTo>
                  <a:pt x="33" y="9"/>
                </a:lnTo>
                <a:lnTo>
                  <a:pt x="43" y="0"/>
                </a:lnTo>
                <a:close/>
              </a:path>
            </a:pathLst>
          </a:custGeom>
          <a:solidFill>
            <a:schemeClr val="accent4"/>
          </a:solidFill>
          <a:ln w="0">
            <a:solidFill>
              <a:schemeClr val="accent4"/>
            </a:solidFill>
            <a:prstDash val="solid"/>
            <a:round/>
            <a:headEnd/>
            <a:tailEnd/>
          </a:ln>
        </xdr:spPr>
      </xdr:sp>
      <xdr:sp macro="" textlink="">
        <xdr:nvSpPr>
          <xdr:cNvPr id="117" name="Freeform 169"/>
          <xdr:cNvSpPr>
            <a:spLocks/>
          </xdr:cNvSpPr>
        </xdr:nvSpPr>
        <xdr:spPr bwMode="auto">
          <a:xfrm>
            <a:off x="651" y="831"/>
            <a:ext cx="5" cy="4"/>
          </a:xfrm>
          <a:custGeom>
            <a:avLst/>
            <a:gdLst>
              <a:gd name="T0" fmla="*/ 9 w 18"/>
              <a:gd name="T1" fmla="*/ 0 h 15"/>
              <a:gd name="T2" fmla="*/ 11 w 18"/>
              <a:gd name="T3" fmla="*/ 6 h 15"/>
              <a:gd name="T4" fmla="*/ 12 w 18"/>
              <a:gd name="T5" fmla="*/ 10 h 15"/>
              <a:gd name="T6" fmla="*/ 16 w 18"/>
              <a:gd name="T7" fmla="*/ 13 h 15"/>
              <a:gd name="T8" fmla="*/ 18 w 18"/>
              <a:gd name="T9" fmla="*/ 15 h 15"/>
              <a:gd name="T10" fmla="*/ 0 w 18"/>
              <a:gd name="T11" fmla="*/ 15 h 15"/>
              <a:gd name="T12" fmla="*/ 2 w 18"/>
              <a:gd name="T13" fmla="*/ 13 h 15"/>
              <a:gd name="T14" fmla="*/ 6 w 18"/>
              <a:gd name="T15" fmla="*/ 10 h 15"/>
              <a:gd name="T16" fmla="*/ 7 w 18"/>
              <a:gd name="T17" fmla="*/ 6 h 15"/>
              <a:gd name="T18" fmla="*/ 9 w 18"/>
              <a:gd name="T19" fmla="*/ 0 h 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8" h="15">
                <a:moveTo>
                  <a:pt x="9" y="0"/>
                </a:moveTo>
                <a:lnTo>
                  <a:pt x="11" y="6"/>
                </a:lnTo>
                <a:lnTo>
                  <a:pt x="12" y="10"/>
                </a:lnTo>
                <a:lnTo>
                  <a:pt x="16" y="13"/>
                </a:lnTo>
                <a:lnTo>
                  <a:pt x="18" y="15"/>
                </a:lnTo>
                <a:lnTo>
                  <a:pt x="0" y="15"/>
                </a:lnTo>
                <a:lnTo>
                  <a:pt x="2" y="13"/>
                </a:lnTo>
                <a:lnTo>
                  <a:pt x="6" y="10"/>
                </a:lnTo>
                <a:lnTo>
                  <a:pt x="7" y="6"/>
                </a:lnTo>
                <a:lnTo>
                  <a:pt x="9" y="0"/>
                </a:lnTo>
                <a:close/>
              </a:path>
            </a:pathLst>
          </a:custGeom>
          <a:solidFill>
            <a:schemeClr val="accent1"/>
          </a:solidFill>
          <a:ln w="0">
            <a:solidFill>
              <a:schemeClr val="accent1"/>
            </a:solidFill>
            <a:prstDash val="solid"/>
            <a:round/>
            <a:headEnd/>
            <a:tailEnd/>
          </a:ln>
        </xdr:spPr>
      </xdr:sp>
      <xdr:sp macro="" textlink="">
        <xdr:nvSpPr>
          <xdr:cNvPr id="118" name="Freeform 170"/>
          <xdr:cNvSpPr>
            <a:spLocks/>
          </xdr:cNvSpPr>
        </xdr:nvSpPr>
        <xdr:spPr bwMode="auto">
          <a:xfrm>
            <a:off x="432" y="785"/>
            <a:ext cx="74" cy="44"/>
          </a:xfrm>
          <a:custGeom>
            <a:avLst/>
            <a:gdLst>
              <a:gd name="T0" fmla="*/ 122 w 298"/>
              <a:gd name="T1" fmla="*/ 0 h 176"/>
              <a:gd name="T2" fmla="*/ 126 w 298"/>
              <a:gd name="T3" fmla="*/ 11 h 176"/>
              <a:gd name="T4" fmla="*/ 130 w 298"/>
              <a:gd name="T5" fmla="*/ 28 h 176"/>
              <a:gd name="T6" fmla="*/ 133 w 298"/>
              <a:gd name="T7" fmla="*/ 47 h 176"/>
              <a:gd name="T8" fmla="*/ 135 w 298"/>
              <a:gd name="T9" fmla="*/ 45 h 176"/>
              <a:gd name="T10" fmla="*/ 138 w 298"/>
              <a:gd name="T11" fmla="*/ 43 h 176"/>
              <a:gd name="T12" fmla="*/ 139 w 298"/>
              <a:gd name="T13" fmla="*/ 39 h 176"/>
              <a:gd name="T14" fmla="*/ 140 w 298"/>
              <a:gd name="T15" fmla="*/ 37 h 176"/>
              <a:gd name="T16" fmla="*/ 142 w 298"/>
              <a:gd name="T17" fmla="*/ 34 h 176"/>
              <a:gd name="T18" fmla="*/ 147 w 298"/>
              <a:gd name="T19" fmla="*/ 36 h 176"/>
              <a:gd name="T20" fmla="*/ 151 w 298"/>
              <a:gd name="T21" fmla="*/ 37 h 176"/>
              <a:gd name="T22" fmla="*/ 153 w 298"/>
              <a:gd name="T23" fmla="*/ 39 h 176"/>
              <a:gd name="T24" fmla="*/ 153 w 298"/>
              <a:gd name="T25" fmla="*/ 42 h 176"/>
              <a:gd name="T26" fmla="*/ 152 w 298"/>
              <a:gd name="T27" fmla="*/ 46 h 176"/>
              <a:gd name="T28" fmla="*/ 151 w 298"/>
              <a:gd name="T29" fmla="*/ 50 h 176"/>
              <a:gd name="T30" fmla="*/ 171 w 298"/>
              <a:gd name="T31" fmla="*/ 39 h 176"/>
              <a:gd name="T32" fmla="*/ 209 w 298"/>
              <a:gd name="T33" fmla="*/ 19 h 176"/>
              <a:gd name="T34" fmla="*/ 249 w 298"/>
              <a:gd name="T35" fmla="*/ 9 h 176"/>
              <a:gd name="T36" fmla="*/ 280 w 298"/>
              <a:gd name="T37" fmla="*/ 7 h 176"/>
              <a:gd name="T38" fmla="*/ 295 w 298"/>
              <a:gd name="T39" fmla="*/ 12 h 176"/>
              <a:gd name="T40" fmla="*/ 298 w 298"/>
              <a:gd name="T41" fmla="*/ 19 h 176"/>
              <a:gd name="T42" fmla="*/ 295 w 298"/>
              <a:gd name="T43" fmla="*/ 31 h 176"/>
              <a:gd name="T44" fmla="*/ 286 w 298"/>
              <a:gd name="T45" fmla="*/ 45 h 176"/>
              <a:gd name="T46" fmla="*/ 271 w 298"/>
              <a:gd name="T47" fmla="*/ 77 h 176"/>
              <a:gd name="T48" fmla="*/ 251 w 298"/>
              <a:gd name="T49" fmla="*/ 97 h 176"/>
              <a:gd name="T50" fmla="*/ 225 w 298"/>
              <a:gd name="T51" fmla="*/ 97 h 176"/>
              <a:gd name="T52" fmla="*/ 214 w 298"/>
              <a:gd name="T53" fmla="*/ 94 h 176"/>
              <a:gd name="T54" fmla="*/ 218 w 298"/>
              <a:gd name="T55" fmla="*/ 97 h 176"/>
              <a:gd name="T56" fmla="*/ 224 w 298"/>
              <a:gd name="T57" fmla="*/ 99 h 176"/>
              <a:gd name="T58" fmla="*/ 232 w 298"/>
              <a:gd name="T59" fmla="*/ 105 h 176"/>
              <a:gd name="T60" fmla="*/ 240 w 298"/>
              <a:gd name="T61" fmla="*/ 114 h 176"/>
              <a:gd name="T62" fmla="*/ 243 w 298"/>
              <a:gd name="T63" fmla="*/ 124 h 176"/>
              <a:gd name="T64" fmla="*/ 244 w 298"/>
              <a:gd name="T65" fmla="*/ 134 h 176"/>
              <a:gd name="T66" fmla="*/ 242 w 298"/>
              <a:gd name="T67" fmla="*/ 156 h 176"/>
              <a:gd name="T68" fmla="*/ 236 w 298"/>
              <a:gd name="T69" fmla="*/ 164 h 176"/>
              <a:gd name="T70" fmla="*/ 223 w 298"/>
              <a:gd name="T71" fmla="*/ 172 h 176"/>
              <a:gd name="T72" fmla="*/ 207 w 298"/>
              <a:gd name="T73" fmla="*/ 140 h 176"/>
              <a:gd name="T74" fmla="*/ 193 w 298"/>
              <a:gd name="T75" fmla="*/ 140 h 176"/>
              <a:gd name="T76" fmla="*/ 182 w 298"/>
              <a:gd name="T77" fmla="*/ 175 h 176"/>
              <a:gd name="T78" fmla="*/ 156 w 298"/>
              <a:gd name="T79" fmla="*/ 166 h 176"/>
              <a:gd name="T80" fmla="*/ 142 w 298"/>
              <a:gd name="T81" fmla="*/ 143 h 176"/>
              <a:gd name="T82" fmla="*/ 131 w 298"/>
              <a:gd name="T83" fmla="*/ 108 h 176"/>
              <a:gd name="T84" fmla="*/ 126 w 298"/>
              <a:gd name="T85" fmla="*/ 117 h 176"/>
              <a:gd name="T86" fmla="*/ 117 w 298"/>
              <a:gd name="T87" fmla="*/ 126 h 176"/>
              <a:gd name="T88" fmla="*/ 111 w 298"/>
              <a:gd name="T89" fmla="*/ 123 h 176"/>
              <a:gd name="T90" fmla="*/ 110 w 298"/>
              <a:gd name="T91" fmla="*/ 117 h 176"/>
              <a:gd name="T92" fmla="*/ 110 w 298"/>
              <a:gd name="T93" fmla="*/ 111 h 176"/>
              <a:gd name="T94" fmla="*/ 111 w 298"/>
              <a:gd name="T95" fmla="*/ 105 h 176"/>
              <a:gd name="T96" fmla="*/ 98 w 298"/>
              <a:gd name="T97" fmla="*/ 109 h 176"/>
              <a:gd name="T98" fmla="*/ 78 w 298"/>
              <a:gd name="T99" fmla="*/ 122 h 176"/>
              <a:gd name="T100" fmla="*/ 60 w 298"/>
              <a:gd name="T101" fmla="*/ 127 h 176"/>
              <a:gd name="T102" fmla="*/ 40 w 298"/>
              <a:gd name="T103" fmla="*/ 121 h 176"/>
              <a:gd name="T104" fmla="*/ 11 w 298"/>
              <a:gd name="T105" fmla="*/ 92 h 176"/>
              <a:gd name="T106" fmla="*/ 0 w 298"/>
              <a:gd name="T107" fmla="*/ 63 h 176"/>
              <a:gd name="T108" fmla="*/ 12 w 298"/>
              <a:gd name="T109" fmla="*/ 41 h 176"/>
              <a:gd name="T110" fmla="*/ 21 w 298"/>
              <a:gd name="T111" fmla="*/ 34 h 176"/>
              <a:gd name="T112" fmla="*/ 44 w 298"/>
              <a:gd name="T113" fmla="*/ 28 h 176"/>
              <a:gd name="T114" fmla="*/ 54 w 298"/>
              <a:gd name="T115" fmla="*/ 30 h 176"/>
              <a:gd name="T116" fmla="*/ 58 w 298"/>
              <a:gd name="T117" fmla="*/ 31 h 176"/>
              <a:gd name="T118" fmla="*/ 55 w 298"/>
              <a:gd name="T119" fmla="*/ 28 h 176"/>
              <a:gd name="T120" fmla="*/ 49 w 298"/>
              <a:gd name="T121" fmla="*/ 24 h 176"/>
              <a:gd name="T122" fmla="*/ 38 w 298"/>
              <a:gd name="T123" fmla="*/ 13 h 17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98" h="176">
                <a:moveTo>
                  <a:pt x="32" y="0"/>
                </a:moveTo>
                <a:lnTo>
                  <a:pt x="122" y="0"/>
                </a:lnTo>
                <a:lnTo>
                  <a:pt x="124" y="6"/>
                </a:lnTo>
                <a:lnTo>
                  <a:pt x="126" y="11"/>
                </a:lnTo>
                <a:lnTo>
                  <a:pt x="128" y="20"/>
                </a:lnTo>
                <a:lnTo>
                  <a:pt x="130" y="28"/>
                </a:lnTo>
                <a:lnTo>
                  <a:pt x="132" y="38"/>
                </a:lnTo>
                <a:lnTo>
                  <a:pt x="133" y="47"/>
                </a:lnTo>
                <a:lnTo>
                  <a:pt x="134" y="46"/>
                </a:lnTo>
                <a:lnTo>
                  <a:pt x="135" y="45"/>
                </a:lnTo>
                <a:lnTo>
                  <a:pt x="137" y="43"/>
                </a:lnTo>
                <a:lnTo>
                  <a:pt x="138" y="43"/>
                </a:lnTo>
                <a:lnTo>
                  <a:pt x="138" y="41"/>
                </a:lnTo>
                <a:lnTo>
                  <a:pt x="139" y="39"/>
                </a:lnTo>
                <a:lnTo>
                  <a:pt x="140" y="38"/>
                </a:lnTo>
                <a:lnTo>
                  <a:pt x="140" y="37"/>
                </a:lnTo>
                <a:lnTo>
                  <a:pt x="141" y="36"/>
                </a:lnTo>
                <a:lnTo>
                  <a:pt x="142" y="34"/>
                </a:lnTo>
                <a:lnTo>
                  <a:pt x="144" y="34"/>
                </a:lnTo>
                <a:lnTo>
                  <a:pt x="147" y="36"/>
                </a:lnTo>
                <a:lnTo>
                  <a:pt x="149" y="36"/>
                </a:lnTo>
                <a:lnTo>
                  <a:pt x="151" y="37"/>
                </a:lnTo>
                <a:lnTo>
                  <a:pt x="152" y="38"/>
                </a:lnTo>
                <a:lnTo>
                  <a:pt x="153" y="39"/>
                </a:lnTo>
                <a:lnTo>
                  <a:pt x="153" y="40"/>
                </a:lnTo>
                <a:lnTo>
                  <a:pt x="153" y="42"/>
                </a:lnTo>
                <a:lnTo>
                  <a:pt x="152" y="45"/>
                </a:lnTo>
                <a:lnTo>
                  <a:pt x="152" y="46"/>
                </a:lnTo>
                <a:lnTo>
                  <a:pt x="151" y="47"/>
                </a:lnTo>
                <a:lnTo>
                  <a:pt x="151" y="50"/>
                </a:lnTo>
                <a:lnTo>
                  <a:pt x="151" y="54"/>
                </a:lnTo>
                <a:lnTo>
                  <a:pt x="171" y="39"/>
                </a:lnTo>
                <a:lnTo>
                  <a:pt x="191" y="26"/>
                </a:lnTo>
                <a:lnTo>
                  <a:pt x="209" y="19"/>
                </a:lnTo>
                <a:lnTo>
                  <a:pt x="230" y="13"/>
                </a:lnTo>
                <a:lnTo>
                  <a:pt x="249" y="9"/>
                </a:lnTo>
                <a:lnTo>
                  <a:pt x="269" y="7"/>
                </a:lnTo>
                <a:lnTo>
                  <a:pt x="280" y="7"/>
                </a:lnTo>
                <a:lnTo>
                  <a:pt x="290" y="9"/>
                </a:lnTo>
                <a:lnTo>
                  <a:pt x="295" y="12"/>
                </a:lnTo>
                <a:lnTo>
                  <a:pt x="297" y="15"/>
                </a:lnTo>
                <a:lnTo>
                  <a:pt x="298" y="19"/>
                </a:lnTo>
                <a:lnTo>
                  <a:pt x="298" y="23"/>
                </a:lnTo>
                <a:lnTo>
                  <a:pt x="295" y="31"/>
                </a:lnTo>
                <a:lnTo>
                  <a:pt x="290" y="38"/>
                </a:lnTo>
                <a:lnTo>
                  <a:pt x="286" y="45"/>
                </a:lnTo>
                <a:lnTo>
                  <a:pt x="278" y="60"/>
                </a:lnTo>
                <a:lnTo>
                  <a:pt x="271" y="77"/>
                </a:lnTo>
                <a:lnTo>
                  <a:pt x="262" y="89"/>
                </a:lnTo>
                <a:lnTo>
                  <a:pt x="251" y="97"/>
                </a:lnTo>
                <a:lnTo>
                  <a:pt x="238" y="98"/>
                </a:lnTo>
                <a:lnTo>
                  <a:pt x="225" y="97"/>
                </a:lnTo>
                <a:lnTo>
                  <a:pt x="213" y="94"/>
                </a:lnTo>
                <a:lnTo>
                  <a:pt x="214" y="94"/>
                </a:lnTo>
                <a:lnTo>
                  <a:pt x="216" y="96"/>
                </a:lnTo>
                <a:lnTo>
                  <a:pt x="218" y="97"/>
                </a:lnTo>
                <a:lnTo>
                  <a:pt x="219" y="98"/>
                </a:lnTo>
                <a:lnTo>
                  <a:pt x="224" y="99"/>
                </a:lnTo>
                <a:lnTo>
                  <a:pt x="227" y="101"/>
                </a:lnTo>
                <a:lnTo>
                  <a:pt x="232" y="105"/>
                </a:lnTo>
                <a:lnTo>
                  <a:pt x="236" y="109"/>
                </a:lnTo>
                <a:lnTo>
                  <a:pt x="240" y="114"/>
                </a:lnTo>
                <a:lnTo>
                  <a:pt x="242" y="118"/>
                </a:lnTo>
                <a:lnTo>
                  <a:pt x="243" y="124"/>
                </a:lnTo>
                <a:lnTo>
                  <a:pt x="244" y="128"/>
                </a:lnTo>
                <a:lnTo>
                  <a:pt x="244" y="134"/>
                </a:lnTo>
                <a:lnTo>
                  <a:pt x="244" y="145"/>
                </a:lnTo>
                <a:lnTo>
                  <a:pt x="242" y="156"/>
                </a:lnTo>
                <a:lnTo>
                  <a:pt x="240" y="160"/>
                </a:lnTo>
                <a:lnTo>
                  <a:pt x="236" y="164"/>
                </a:lnTo>
                <a:lnTo>
                  <a:pt x="232" y="167"/>
                </a:lnTo>
                <a:lnTo>
                  <a:pt x="223" y="172"/>
                </a:lnTo>
                <a:lnTo>
                  <a:pt x="213" y="174"/>
                </a:lnTo>
                <a:lnTo>
                  <a:pt x="207" y="140"/>
                </a:lnTo>
                <a:lnTo>
                  <a:pt x="200" y="109"/>
                </a:lnTo>
                <a:lnTo>
                  <a:pt x="193" y="140"/>
                </a:lnTo>
                <a:lnTo>
                  <a:pt x="188" y="176"/>
                </a:lnTo>
                <a:lnTo>
                  <a:pt x="182" y="175"/>
                </a:lnTo>
                <a:lnTo>
                  <a:pt x="168" y="173"/>
                </a:lnTo>
                <a:lnTo>
                  <a:pt x="156" y="166"/>
                </a:lnTo>
                <a:lnTo>
                  <a:pt x="147" y="155"/>
                </a:lnTo>
                <a:lnTo>
                  <a:pt x="142" y="143"/>
                </a:lnTo>
                <a:lnTo>
                  <a:pt x="138" y="132"/>
                </a:lnTo>
                <a:lnTo>
                  <a:pt x="131" y="108"/>
                </a:lnTo>
                <a:lnTo>
                  <a:pt x="130" y="110"/>
                </a:lnTo>
                <a:lnTo>
                  <a:pt x="126" y="117"/>
                </a:lnTo>
                <a:lnTo>
                  <a:pt x="122" y="123"/>
                </a:lnTo>
                <a:lnTo>
                  <a:pt x="117" y="126"/>
                </a:lnTo>
                <a:lnTo>
                  <a:pt x="112" y="124"/>
                </a:lnTo>
                <a:lnTo>
                  <a:pt x="111" y="123"/>
                </a:lnTo>
                <a:lnTo>
                  <a:pt x="111" y="119"/>
                </a:lnTo>
                <a:lnTo>
                  <a:pt x="110" y="117"/>
                </a:lnTo>
                <a:lnTo>
                  <a:pt x="110" y="115"/>
                </a:lnTo>
                <a:lnTo>
                  <a:pt x="110" y="111"/>
                </a:lnTo>
                <a:lnTo>
                  <a:pt x="111" y="108"/>
                </a:lnTo>
                <a:lnTo>
                  <a:pt x="111" y="105"/>
                </a:lnTo>
                <a:lnTo>
                  <a:pt x="112" y="101"/>
                </a:lnTo>
                <a:lnTo>
                  <a:pt x="98" y="109"/>
                </a:lnTo>
                <a:lnTo>
                  <a:pt x="86" y="116"/>
                </a:lnTo>
                <a:lnTo>
                  <a:pt x="78" y="122"/>
                </a:lnTo>
                <a:lnTo>
                  <a:pt x="69" y="125"/>
                </a:lnTo>
                <a:lnTo>
                  <a:pt x="60" y="127"/>
                </a:lnTo>
                <a:lnTo>
                  <a:pt x="49" y="125"/>
                </a:lnTo>
                <a:lnTo>
                  <a:pt x="40" y="121"/>
                </a:lnTo>
                <a:lnTo>
                  <a:pt x="25" y="108"/>
                </a:lnTo>
                <a:lnTo>
                  <a:pt x="11" y="92"/>
                </a:lnTo>
                <a:lnTo>
                  <a:pt x="1" y="75"/>
                </a:lnTo>
                <a:lnTo>
                  <a:pt x="0" y="63"/>
                </a:lnTo>
                <a:lnTo>
                  <a:pt x="3" y="51"/>
                </a:lnTo>
                <a:lnTo>
                  <a:pt x="12" y="41"/>
                </a:lnTo>
                <a:lnTo>
                  <a:pt x="16" y="38"/>
                </a:lnTo>
                <a:lnTo>
                  <a:pt x="21" y="34"/>
                </a:lnTo>
                <a:lnTo>
                  <a:pt x="32" y="29"/>
                </a:lnTo>
                <a:lnTo>
                  <a:pt x="44" y="28"/>
                </a:lnTo>
                <a:lnTo>
                  <a:pt x="49" y="29"/>
                </a:lnTo>
                <a:lnTo>
                  <a:pt x="54" y="30"/>
                </a:lnTo>
                <a:lnTo>
                  <a:pt x="59" y="31"/>
                </a:lnTo>
                <a:lnTo>
                  <a:pt x="58" y="31"/>
                </a:lnTo>
                <a:lnTo>
                  <a:pt x="57" y="30"/>
                </a:lnTo>
                <a:lnTo>
                  <a:pt x="55" y="28"/>
                </a:lnTo>
                <a:lnTo>
                  <a:pt x="53" y="26"/>
                </a:lnTo>
                <a:lnTo>
                  <a:pt x="49" y="24"/>
                </a:lnTo>
                <a:lnTo>
                  <a:pt x="48" y="23"/>
                </a:lnTo>
                <a:lnTo>
                  <a:pt x="38" y="13"/>
                </a:lnTo>
                <a:lnTo>
                  <a:pt x="32" y="0"/>
                </a:lnTo>
                <a:close/>
              </a:path>
            </a:pathLst>
          </a:custGeom>
          <a:solidFill>
            <a:schemeClr val="accent2"/>
          </a:solidFill>
          <a:ln w="0">
            <a:solidFill>
              <a:schemeClr val="accent2"/>
            </a:solidFill>
            <a:prstDash val="solid"/>
            <a:round/>
            <a:headEnd/>
            <a:tailEnd/>
          </a:ln>
        </xdr:spPr>
      </xdr:sp>
      <xdr:sp macro="" textlink="">
        <xdr:nvSpPr>
          <xdr:cNvPr id="119" name="Freeform 171"/>
          <xdr:cNvSpPr>
            <a:spLocks/>
          </xdr:cNvSpPr>
        </xdr:nvSpPr>
        <xdr:spPr bwMode="auto">
          <a:xfrm>
            <a:off x="492" y="816"/>
            <a:ext cx="11" cy="19"/>
          </a:xfrm>
          <a:custGeom>
            <a:avLst/>
            <a:gdLst>
              <a:gd name="T0" fmla="*/ 45 w 45"/>
              <a:gd name="T1" fmla="*/ 0 h 75"/>
              <a:gd name="T2" fmla="*/ 41 w 45"/>
              <a:gd name="T3" fmla="*/ 23 h 75"/>
              <a:gd name="T4" fmla="*/ 37 w 45"/>
              <a:gd name="T5" fmla="*/ 49 h 75"/>
              <a:gd name="T6" fmla="*/ 29 w 45"/>
              <a:gd name="T7" fmla="*/ 75 h 75"/>
              <a:gd name="T8" fmla="*/ 0 w 45"/>
              <a:gd name="T9" fmla="*/ 75 h 75"/>
              <a:gd name="T10" fmla="*/ 14 w 45"/>
              <a:gd name="T11" fmla="*/ 47 h 75"/>
              <a:gd name="T12" fmla="*/ 29 w 45"/>
              <a:gd name="T13" fmla="*/ 22 h 75"/>
              <a:gd name="T14" fmla="*/ 45 w 45"/>
              <a:gd name="T15" fmla="*/ 0 h 75"/>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45" h="75">
                <a:moveTo>
                  <a:pt x="45" y="0"/>
                </a:moveTo>
                <a:lnTo>
                  <a:pt x="41" y="23"/>
                </a:lnTo>
                <a:lnTo>
                  <a:pt x="37" y="49"/>
                </a:lnTo>
                <a:lnTo>
                  <a:pt x="29" y="75"/>
                </a:lnTo>
                <a:lnTo>
                  <a:pt x="0" y="75"/>
                </a:lnTo>
                <a:lnTo>
                  <a:pt x="14" y="47"/>
                </a:lnTo>
                <a:lnTo>
                  <a:pt x="29" y="22"/>
                </a:lnTo>
                <a:lnTo>
                  <a:pt x="45" y="0"/>
                </a:lnTo>
                <a:close/>
              </a:path>
            </a:pathLst>
          </a:custGeom>
          <a:solidFill>
            <a:schemeClr val="accent1"/>
          </a:solidFill>
          <a:ln w="0">
            <a:solidFill>
              <a:schemeClr val="accent1"/>
            </a:solidFill>
            <a:prstDash val="solid"/>
            <a:round/>
            <a:headEnd/>
            <a:tailEnd/>
          </a:ln>
        </xdr:spPr>
      </xdr:sp>
      <xdr:sp macro="" textlink="">
        <xdr:nvSpPr>
          <xdr:cNvPr id="120" name="Freeform 172"/>
          <xdr:cNvSpPr>
            <a:spLocks/>
          </xdr:cNvSpPr>
        </xdr:nvSpPr>
        <xdr:spPr bwMode="auto">
          <a:xfrm>
            <a:off x="459" y="817"/>
            <a:ext cx="12" cy="18"/>
          </a:xfrm>
          <a:custGeom>
            <a:avLst/>
            <a:gdLst>
              <a:gd name="T0" fmla="*/ 0 w 47"/>
              <a:gd name="T1" fmla="*/ 0 h 73"/>
              <a:gd name="T2" fmla="*/ 15 w 47"/>
              <a:gd name="T3" fmla="*/ 21 h 73"/>
              <a:gd name="T4" fmla="*/ 31 w 47"/>
              <a:gd name="T5" fmla="*/ 46 h 73"/>
              <a:gd name="T6" fmla="*/ 47 w 47"/>
              <a:gd name="T7" fmla="*/ 73 h 73"/>
              <a:gd name="T8" fmla="*/ 16 w 47"/>
              <a:gd name="T9" fmla="*/ 73 h 73"/>
              <a:gd name="T10" fmla="*/ 8 w 47"/>
              <a:gd name="T11" fmla="*/ 47 h 73"/>
              <a:gd name="T12" fmla="*/ 3 w 47"/>
              <a:gd name="T13" fmla="*/ 23 h 73"/>
              <a:gd name="T14" fmla="*/ 0 w 47"/>
              <a:gd name="T15" fmla="*/ 0 h 73"/>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47" h="73">
                <a:moveTo>
                  <a:pt x="0" y="0"/>
                </a:moveTo>
                <a:lnTo>
                  <a:pt x="15" y="21"/>
                </a:lnTo>
                <a:lnTo>
                  <a:pt x="31" y="46"/>
                </a:lnTo>
                <a:lnTo>
                  <a:pt x="47" y="73"/>
                </a:lnTo>
                <a:lnTo>
                  <a:pt x="16" y="73"/>
                </a:lnTo>
                <a:lnTo>
                  <a:pt x="8" y="47"/>
                </a:lnTo>
                <a:lnTo>
                  <a:pt x="3" y="23"/>
                </a:lnTo>
                <a:lnTo>
                  <a:pt x="0" y="0"/>
                </a:lnTo>
                <a:close/>
              </a:path>
            </a:pathLst>
          </a:custGeom>
          <a:solidFill>
            <a:srgbClr val="FBD200"/>
          </a:solidFill>
          <a:ln w="0">
            <a:solidFill>
              <a:schemeClr val="accent1"/>
            </a:solidFill>
            <a:prstDash val="solid"/>
            <a:round/>
            <a:headEnd/>
            <a:tailEnd/>
          </a:ln>
        </xdr:spPr>
      </xdr:sp>
      <xdr:sp macro="" textlink="">
        <xdr:nvSpPr>
          <xdr:cNvPr id="121" name="Freeform 173"/>
          <xdr:cNvSpPr>
            <a:spLocks/>
          </xdr:cNvSpPr>
        </xdr:nvSpPr>
        <xdr:spPr bwMode="auto">
          <a:xfrm>
            <a:off x="514" y="829"/>
            <a:ext cx="9" cy="6"/>
          </a:xfrm>
          <a:custGeom>
            <a:avLst/>
            <a:gdLst>
              <a:gd name="T0" fmla="*/ 36 w 36"/>
              <a:gd name="T1" fmla="*/ 0 h 23"/>
              <a:gd name="T2" fmla="*/ 22 w 36"/>
              <a:gd name="T3" fmla="*/ 23 h 23"/>
              <a:gd name="T4" fmla="*/ 0 w 36"/>
              <a:gd name="T5" fmla="*/ 23 h 23"/>
              <a:gd name="T6" fmla="*/ 19 w 36"/>
              <a:gd name="T7" fmla="*/ 11 h 23"/>
              <a:gd name="T8" fmla="*/ 36 w 36"/>
              <a:gd name="T9" fmla="*/ 0 h 23"/>
            </a:gdLst>
            <a:ahLst/>
            <a:cxnLst>
              <a:cxn ang="0">
                <a:pos x="T0" y="T1"/>
              </a:cxn>
              <a:cxn ang="0">
                <a:pos x="T2" y="T3"/>
              </a:cxn>
              <a:cxn ang="0">
                <a:pos x="T4" y="T5"/>
              </a:cxn>
              <a:cxn ang="0">
                <a:pos x="T6" y="T7"/>
              </a:cxn>
              <a:cxn ang="0">
                <a:pos x="T8" y="T9"/>
              </a:cxn>
            </a:cxnLst>
            <a:rect l="0" t="0" r="r" b="b"/>
            <a:pathLst>
              <a:path w="36" h="23">
                <a:moveTo>
                  <a:pt x="36" y="0"/>
                </a:moveTo>
                <a:lnTo>
                  <a:pt x="22" y="23"/>
                </a:lnTo>
                <a:lnTo>
                  <a:pt x="0" y="23"/>
                </a:lnTo>
                <a:lnTo>
                  <a:pt x="19" y="11"/>
                </a:lnTo>
                <a:lnTo>
                  <a:pt x="36" y="0"/>
                </a:lnTo>
                <a:close/>
              </a:path>
            </a:pathLst>
          </a:custGeom>
          <a:solidFill>
            <a:schemeClr val="accent1"/>
          </a:solidFill>
          <a:ln w="0">
            <a:solidFill>
              <a:schemeClr val="accent1"/>
            </a:solidFill>
            <a:prstDash val="solid"/>
            <a:round/>
            <a:headEnd/>
            <a:tailEnd/>
          </a:ln>
        </xdr:spPr>
      </xdr:sp>
      <xdr:sp macro="" textlink="">
        <xdr:nvSpPr>
          <xdr:cNvPr id="122" name="Freeform 174"/>
          <xdr:cNvSpPr>
            <a:spLocks/>
          </xdr:cNvSpPr>
        </xdr:nvSpPr>
        <xdr:spPr bwMode="auto">
          <a:xfrm>
            <a:off x="441" y="829"/>
            <a:ext cx="9" cy="6"/>
          </a:xfrm>
          <a:custGeom>
            <a:avLst/>
            <a:gdLst>
              <a:gd name="T0" fmla="*/ 0 w 37"/>
              <a:gd name="T1" fmla="*/ 0 h 23"/>
              <a:gd name="T2" fmla="*/ 18 w 37"/>
              <a:gd name="T3" fmla="*/ 11 h 23"/>
              <a:gd name="T4" fmla="*/ 37 w 37"/>
              <a:gd name="T5" fmla="*/ 23 h 23"/>
              <a:gd name="T6" fmla="*/ 13 w 37"/>
              <a:gd name="T7" fmla="*/ 23 h 23"/>
              <a:gd name="T8" fmla="*/ 0 w 37"/>
              <a:gd name="T9" fmla="*/ 0 h 23"/>
            </a:gdLst>
            <a:ahLst/>
            <a:cxnLst>
              <a:cxn ang="0">
                <a:pos x="T0" y="T1"/>
              </a:cxn>
              <a:cxn ang="0">
                <a:pos x="T2" y="T3"/>
              </a:cxn>
              <a:cxn ang="0">
                <a:pos x="T4" y="T5"/>
              </a:cxn>
              <a:cxn ang="0">
                <a:pos x="T6" y="T7"/>
              </a:cxn>
              <a:cxn ang="0">
                <a:pos x="T8" y="T9"/>
              </a:cxn>
            </a:cxnLst>
            <a:rect l="0" t="0" r="r" b="b"/>
            <a:pathLst>
              <a:path w="37" h="23">
                <a:moveTo>
                  <a:pt x="0" y="0"/>
                </a:moveTo>
                <a:lnTo>
                  <a:pt x="18" y="11"/>
                </a:lnTo>
                <a:lnTo>
                  <a:pt x="37" y="23"/>
                </a:lnTo>
                <a:lnTo>
                  <a:pt x="13" y="23"/>
                </a:lnTo>
                <a:lnTo>
                  <a:pt x="0" y="0"/>
                </a:lnTo>
                <a:close/>
              </a:path>
            </a:pathLst>
          </a:custGeom>
          <a:solidFill>
            <a:schemeClr val="accent1"/>
          </a:solidFill>
          <a:ln w="0">
            <a:solidFill>
              <a:schemeClr val="accent1"/>
            </a:solidFill>
            <a:prstDash val="solid"/>
            <a:round/>
            <a:headEnd/>
            <a:tailEnd/>
          </a:ln>
        </xdr:spPr>
      </xdr:sp>
      <xdr:sp macro="" textlink="">
        <xdr:nvSpPr>
          <xdr:cNvPr id="123" name="Freeform 175"/>
          <xdr:cNvSpPr>
            <a:spLocks/>
          </xdr:cNvSpPr>
        </xdr:nvSpPr>
        <xdr:spPr bwMode="auto">
          <a:xfrm>
            <a:off x="478" y="828"/>
            <a:ext cx="8" cy="7"/>
          </a:xfrm>
          <a:custGeom>
            <a:avLst/>
            <a:gdLst>
              <a:gd name="T0" fmla="*/ 27 w 29"/>
              <a:gd name="T1" fmla="*/ 0 h 27"/>
              <a:gd name="T2" fmla="*/ 29 w 29"/>
              <a:gd name="T3" fmla="*/ 27 h 27"/>
              <a:gd name="T4" fmla="*/ 0 w 29"/>
              <a:gd name="T5" fmla="*/ 27 h 27"/>
              <a:gd name="T6" fmla="*/ 2 w 29"/>
              <a:gd name="T7" fmla="*/ 2 h 27"/>
              <a:gd name="T8" fmla="*/ 14 w 29"/>
              <a:gd name="T9" fmla="*/ 2 h 27"/>
              <a:gd name="T10" fmla="*/ 27 w 29"/>
              <a:gd name="T11" fmla="*/ 0 h 27"/>
            </a:gdLst>
            <a:ahLst/>
            <a:cxnLst>
              <a:cxn ang="0">
                <a:pos x="T0" y="T1"/>
              </a:cxn>
              <a:cxn ang="0">
                <a:pos x="T2" y="T3"/>
              </a:cxn>
              <a:cxn ang="0">
                <a:pos x="T4" y="T5"/>
              </a:cxn>
              <a:cxn ang="0">
                <a:pos x="T6" y="T7"/>
              </a:cxn>
              <a:cxn ang="0">
                <a:pos x="T8" y="T9"/>
              </a:cxn>
              <a:cxn ang="0">
                <a:pos x="T10" y="T11"/>
              </a:cxn>
            </a:cxnLst>
            <a:rect l="0" t="0" r="r" b="b"/>
            <a:pathLst>
              <a:path w="29" h="27">
                <a:moveTo>
                  <a:pt x="27" y="0"/>
                </a:moveTo>
                <a:lnTo>
                  <a:pt x="29" y="27"/>
                </a:lnTo>
                <a:lnTo>
                  <a:pt x="0" y="27"/>
                </a:lnTo>
                <a:lnTo>
                  <a:pt x="2" y="2"/>
                </a:lnTo>
                <a:lnTo>
                  <a:pt x="14" y="2"/>
                </a:lnTo>
                <a:lnTo>
                  <a:pt x="27" y="0"/>
                </a:lnTo>
                <a:close/>
              </a:path>
            </a:pathLst>
          </a:custGeom>
          <a:solidFill>
            <a:schemeClr val="accent1"/>
          </a:solidFill>
          <a:ln w="0">
            <a:solidFill>
              <a:schemeClr val="accent1"/>
            </a:solidFill>
            <a:prstDash val="solid"/>
            <a:round/>
            <a:headEnd/>
            <a:tailEnd/>
          </a:ln>
        </xdr:spPr>
      </xdr:sp>
      <xdr:sp macro="" textlink="">
        <xdr:nvSpPr>
          <xdr:cNvPr id="124" name="Freeform 176"/>
          <xdr:cNvSpPr>
            <a:spLocks/>
          </xdr:cNvSpPr>
        </xdr:nvSpPr>
        <xdr:spPr bwMode="auto">
          <a:xfrm>
            <a:off x="479" y="812"/>
            <a:ext cx="6" cy="17"/>
          </a:xfrm>
          <a:custGeom>
            <a:avLst/>
            <a:gdLst>
              <a:gd name="T0" fmla="*/ 12 w 25"/>
              <a:gd name="T1" fmla="*/ 0 h 67"/>
              <a:gd name="T2" fmla="*/ 19 w 25"/>
              <a:gd name="T3" fmla="*/ 31 h 67"/>
              <a:gd name="T4" fmla="*/ 25 w 25"/>
              <a:gd name="T5" fmla="*/ 65 h 67"/>
              <a:gd name="T6" fmla="*/ 12 w 25"/>
              <a:gd name="T7" fmla="*/ 67 h 67"/>
              <a:gd name="T8" fmla="*/ 0 w 25"/>
              <a:gd name="T9" fmla="*/ 67 h 67"/>
              <a:gd name="T10" fmla="*/ 5 w 25"/>
              <a:gd name="T11" fmla="*/ 31 h 67"/>
              <a:gd name="T12" fmla="*/ 12 w 25"/>
              <a:gd name="T13" fmla="*/ 0 h 67"/>
            </a:gdLst>
            <a:ahLst/>
            <a:cxnLst>
              <a:cxn ang="0">
                <a:pos x="T0" y="T1"/>
              </a:cxn>
              <a:cxn ang="0">
                <a:pos x="T2" y="T3"/>
              </a:cxn>
              <a:cxn ang="0">
                <a:pos x="T4" y="T5"/>
              </a:cxn>
              <a:cxn ang="0">
                <a:pos x="T6" y="T7"/>
              </a:cxn>
              <a:cxn ang="0">
                <a:pos x="T8" y="T9"/>
              </a:cxn>
              <a:cxn ang="0">
                <a:pos x="T10" y="T11"/>
              </a:cxn>
              <a:cxn ang="0">
                <a:pos x="T12" y="T13"/>
              </a:cxn>
            </a:cxnLst>
            <a:rect l="0" t="0" r="r" b="b"/>
            <a:pathLst>
              <a:path w="25" h="67">
                <a:moveTo>
                  <a:pt x="12" y="0"/>
                </a:moveTo>
                <a:lnTo>
                  <a:pt x="19" y="31"/>
                </a:lnTo>
                <a:lnTo>
                  <a:pt x="25" y="65"/>
                </a:lnTo>
                <a:lnTo>
                  <a:pt x="12" y="67"/>
                </a:lnTo>
                <a:lnTo>
                  <a:pt x="0" y="67"/>
                </a:lnTo>
                <a:lnTo>
                  <a:pt x="5" y="31"/>
                </a:lnTo>
                <a:lnTo>
                  <a:pt x="12" y="0"/>
                </a:lnTo>
                <a:close/>
              </a:path>
            </a:pathLst>
          </a:custGeom>
          <a:solidFill>
            <a:schemeClr val="accent2">
              <a:lumMod val="75000"/>
            </a:schemeClr>
          </a:solidFill>
          <a:ln w="0">
            <a:solidFill>
              <a:schemeClr val="accent2">
                <a:lumMod val="75000"/>
              </a:schemeClr>
            </a:solidFill>
            <a:prstDash val="solid"/>
            <a:round/>
            <a:headEnd/>
            <a:tailEnd/>
          </a:ln>
        </xdr:spPr>
      </xdr:sp>
      <xdr:sp macro="" textlink="">
        <xdr:nvSpPr>
          <xdr:cNvPr id="125" name="Freeform 177"/>
          <xdr:cNvSpPr>
            <a:spLocks/>
          </xdr:cNvSpPr>
        </xdr:nvSpPr>
        <xdr:spPr bwMode="auto">
          <a:xfrm>
            <a:off x="836" y="791"/>
            <a:ext cx="31" cy="12"/>
          </a:xfrm>
          <a:custGeom>
            <a:avLst/>
            <a:gdLst>
              <a:gd name="T0" fmla="*/ 72 w 125"/>
              <a:gd name="T1" fmla="*/ 0 h 49"/>
              <a:gd name="T2" fmla="*/ 98 w 125"/>
              <a:gd name="T3" fmla="*/ 3 h 49"/>
              <a:gd name="T4" fmla="*/ 125 w 125"/>
              <a:gd name="T5" fmla="*/ 12 h 49"/>
              <a:gd name="T6" fmla="*/ 107 w 125"/>
              <a:gd name="T7" fmla="*/ 29 h 49"/>
              <a:gd name="T8" fmla="*/ 89 w 125"/>
              <a:gd name="T9" fmla="*/ 40 h 49"/>
              <a:gd name="T10" fmla="*/ 69 w 125"/>
              <a:gd name="T11" fmla="*/ 47 h 49"/>
              <a:gd name="T12" fmla="*/ 48 w 125"/>
              <a:gd name="T13" fmla="*/ 49 h 49"/>
              <a:gd name="T14" fmla="*/ 24 w 125"/>
              <a:gd name="T15" fmla="*/ 46 h 49"/>
              <a:gd name="T16" fmla="*/ 0 w 125"/>
              <a:gd name="T17" fmla="*/ 39 h 49"/>
              <a:gd name="T18" fmla="*/ 23 w 125"/>
              <a:gd name="T19" fmla="*/ 18 h 49"/>
              <a:gd name="T20" fmla="*/ 48 w 125"/>
              <a:gd name="T21" fmla="*/ 6 h 49"/>
              <a:gd name="T22" fmla="*/ 72 w 125"/>
              <a:gd name="T23" fmla="*/ 0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25" h="49">
                <a:moveTo>
                  <a:pt x="72" y="0"/>
                </a:moveTo>
                <a:lnTo>
                  <a:pt x="98" y="3"/>
                </a:lnTo>
                <a:lnTo>
                  <a:pt x="125" y="12"/>
                </a:lnTo>
                <a:lnTo>
                  <a:pt x="107" y="29"/>
                </a:lnTo>
                <a:lnTo>
                  <a:pt x="89" y="40"/>
                </a:lnTo>
                <a:lnTo>
                  <a:pt x="69" y="47"/>
                </a:lnTo>
                <a:lnTo>
                  <a:pt x="48" y="49"/>
                </a:lnTo>
                <a:lnTo>
                  <a:pt x="24" y="46"/>
                </a:lnTo>
                <a:lnTo>
                  <a:pt x="0" y="39"/>
                </a:lnTo>
                <a:lnTo>
                  <a:pt x="23" y="18"/>
                </a:lnTo>
                <a:lnTo>
                  <a:pt x="48" y="6"/>
                </a:lnTo>
                <a:lnTo>
                  <a:pt x="72" y="0"/>
                </a:lnTo>
                <a:close/>
              </a:path>
            </a:pathLst>
          </a:custGeom>
          <a:solidFill>
            <a:schemeClr val="accent5"/>
          </a:solidFill>
          <a:ln w="0">
            <a:solidFill>
              <a:schemeClr val="accent5"/>
            </a:solidFill>
            <a:prstDash val="solid"/>
            <a:round/>
            <a:headEnd/>
            <a:tailEnd/>
          </a:ln>
        </xdr:spPr>
      </xdr:sp>
      <xdr:sp macro="" textlink="">
        <xdr:nvSpPr>
          <xdr:cNvPr id="126" name="Freeform 178"/>
          <xdr:cNvSpPr>
            <a:spLocks/>
          </xdr:cNvSpPr>
        </xdr:nvSpPr>
        <xdr:spPr bwMode="auto">
          <a:xfrm>
            <a:off x="876" y="802"/>
            <a:ext cx="12" cy="31"/>
          </a:xfrm>
          <a:custGeom>
            <a:avLst/>
            <a:gdLst>
              <a:gd name="T0" fmla="*/ 11 w 48"/>
              <a:gd name="T1" fmla="*/ 0 h 126"/>
              <a:gd name="T2" fmla="*/ 28 w 48"/>
              <a:gd name="T3" fmla="*/ 16 h 126"/>
              <a:gd name="T4" fmla="*/ 39 w 48"/>
              <a:gd name="T5" fmla="*/ 36 h 126"/>
              <a:gd name="T6" fmla="*/ 46 w 48"/>
              <a:gd name="T7" fmla="*/ 56 h 126"/>
              <a:gd name="T8" fmla="*/ 48 w 48"/>
              <a:gd name="T9" fmla="*/ 77 h 126"/>
              <a:gd name="T10" fmla="*/ 45 w 48"/>
              <a:gd name="T11" fmla="*/ 101 h 126"/>
              <a:gd name="T12" fmla="*/ 37 w 48"/>
              <a:gd name="T13" fmla="*/ 126 h 126"/>
              <a:gd name="T14" fmla="*/ 18 w 48"/>
              <a:gd name="T15" fmla="*/ 102 h 126"/>
              <a:gd name="T16" fmla="*/ 5 w 48"/>
              <a:gd name="T17" fmla="*/ 77 h 126"/>
              <a:gd name="T18" fmla="*/ 0 w 48"/>
              <a:gd name="T19" fmla="*/ 53 h 126"/>
              <a:gd name="T20" fmla="*/ 2 w 48"/>
              <a:gd name="T21" fmla="*/ 26 h 126"/>
              <a:gd name="T22" fmla="*/ 11 w 48"/>
              <a:gd name="T23" fmla="*/ 0 h 1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8" h="126">
                <a:moveTo>
                  <a:pt x="11" y="0"/>
                </a:moveTo>
                <a:lnTo>
                  <a:pt x="28" y="16"/>
                </a:lnTo>
                <a:lnTo>
                  <a:pt x="39" y="36"/>
                </a:lnTo>
                <a:lnTo>
                  <a:pt x="46" y="56"/>
                </a:lnTo>
                <a:lnTo>
                  <a:pt x="48" y="77"/>
                </a:lnTo>
                <a:lnTo>
                  <a:pt x="45" y="101"/>
                </a:lnTo>
                <a:lnTo>
                  <a:pt x="37" y="126"/>
                </a:lnTo>
                <a:lnTo>
                  <a:pt x="18" y="102"/>
                </a:lnTo>
                <a:lnTo>
                  <a:pt x="5" y="77"/>
                </a:lnTo>
                <a:lnTo>
                  <a:pt x="0" y="53"/>
                </a:lnTo>
                <a:lnTo>
                  <a:pt x="2" y="26"/>
                </a:lnTo>
                <a:lnTo>
                  <a:pt x="11" y="0"/>
                </a:lnTo>
                <a:close/>
              </a:path>
            </a:pathLst>
          </a:custGeom>
          <a:solidFill>
            <a:schemeClr val="accent5"/>
          </a:solidFill>
          <a:ln w="0">
            <a:solidFill>
              <a:schemeClr val="accent5"/>
            </a:solidFill>
            <a:prstDash val="solid"/>
            <a:round/>
            <a:headEnd/>
            <a:tailEnd/>
          </a:ln>
        </xdr:spPr>
      </xdr:sp>
      <xdr:sp macro="" textlink="">
        <xdr:nvSpPr>
          <xdr:cNvPr id="127" name="Freeform 179"/>
          <xdr:cNvSpPr>
            <a:spLocks/>
          </xdr:cNvSpPr>
        </xdr:nvSpPr>
        <xdr:spPr bwMode="auto">
          <a:xfrm>
            <a:off x="887" y="785"/>
            <a:ext cx="29" cy="8"/>
          </a:xfrm>
          <a:custGeom>
            <a:avLst/>
            <a:gdLst>
              <a:gd name="T0" fmla="*/ 23 w 119"/>
              <a:gd name="T1" fmla="*/ 0 h 32"/>
              <a:gd name="T2" fmla="*/ 119 w 119"/>
              <a:gd name="T3" fmla="*/ 0 h 32"/>
              <a:gd name="T4" fmla="*/ 97 w 119"/>
              <a:gd name="T5" fmla="*/ 17 h 32"/>
              <a:gd name="T6" fmla="*/ 73 w 119"/>
              <a:gd name="T7" fmla="*/ 28 h 32"/>
              <a:gd name="T8" fmla="*/ 49 w 119"/>
              <a:gd name="T9" fmla="*/ 32 h 32"/>
              <a:gd name="T10" fmla="*/ 25 w 119"/>
              <a:gd name="T11" fmla="*/ 29 h 32"/>
              <a:gd name="T12" fmla="*/ 0 w 119"/>
              <a:gd name="T13" fmla="*/ 20 h 32"/>
              <a:gd name="T14" fmla="*/ 11 w 119"/>
              <a:gd name="T15" fmla="*/ 9 h 32"/>
              <a:gd name="T16" fmla="*/ 23 w 119"/>
              <a:gd name="T17" fmla="*/ 0 h 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19" h="32">
                <a:moveTo>
                  <a:pt x="23" y="0"/>
                </a:moveTo>
                <a:lnTo>
                  <a:pt x="119" y="0"/>
                </a:lnTo>
                <a:lnTo>
                  <a:pt x="97" y="17"/>
                </a:lnTo>
                <a:lnTo>
                  <a:pt x="73" y="28"/>
                </a:lnTo>
                <a:lnTo>
                  <a:pt x="49" y="32"/>
                </a:lnTo>
                <a:lnTo>
                  <a:pt x="25" y="29"/>
                </a:lnTo>
                <a:lnTo>
                  <a:pt x="0" y="20"/>
                </a:lnTo>
                <a:lnTo>
                  <a:pt x="11" y="9"/>
                </a:lnTo>
                <a:lnTo>
                  <a:pt x="23" y="0"/>
                </a:lnTo>
                <a:close/>
              </a:path>
            </a:pathLst>
          </a:custGeom>
          <a:solidFill>
            <a:schemeClr val="accent5"/>
          </a:solidFill>
          <a:ln w="0">
            <a:solidFill>
              <a:schemeClr val="accent5"/>
            </a:solidFill>
            <a:prstDash val="solid"/>
            <a:round/>
            <a:headEnd/>
            <a:tailEnd/>
          </a:ln>
        </xdr:spPr>
      </xdr:sp>
      <xdr:sp macro="" textlink="">
        <xdr:nvSpPr>
          <xdr:cNvPr id="128" name="Freeform 180"/>
          <xdr:cNvSpPr>
            <a:spLocks/>
          </xdr:cNvSpPr>
        </xdr:nvSpPr>
        <xdr:spPr bwMode="auto">
          <a:xfrm>
            <a:off x="885" y="797"/>
            <a:ext cx="18" cy="12"/>
          </a:xfrm>
          <a:custGeom>
            <a:avLst/>
            <a:gdLst>
              <a:gd name="T0" fmla="*/ 0 w 72"/>
              <a:gd name="T1" fmla="*/ 0 h 48"/>
              <a:gd name="T2" fmla="*/ 23 w 72"/>
              <a:gd name="T3" fmla="*/ 0 h 48"/>
              <a:gd name="T4" fmla="*/ 44 w 72"/>
              <a:gd name="T5" fmla="*/ 6 h 48"/>
              <a:gd name="T6" fmla="*/ 63 w 72"/>
              <a:gd name="T7" fmla="*/ 15 h 48"/>
              <a:gd name="T8" fmla="*/ 68 w 72"/>
              <a:gd name="T9" fmla="*/ 18 h 48"/>
              <a:gd name="T10" fmla="*/ 72 w 72"/>
              <a:gd name="T11" fmla="*/ 22 h 48"/>
              <a:gd name="T12" fmla="*/ 60 w 72"/>
              <a:gd name="T13" fmla="*/ 22 h 48"/>
              <a:gd name="T14" fmla="*/ 49 w 72"/>
              <a:gd name="T15" fmla="*/ 25 h 48"/>
              <a:gd name="T16" fmla="*/ 40 w 72"/>
              <a:gd name="T17" fmla="*/ 33 h 48"/>
              <a:gd name="T18" fmla="*/ 33 w 72"/>
              <a:gd name="T19" fmla="*/ 43 h 48"/>
              <a:gd name="T20" fmla="*/ 32 w 72"/>
              <a:gd name="T21" fmla="*/ 48 h 48"/>
              <a:gd name="T22" fmla="*/ 19 w 72"/>
              <a:gd name="T23" fmla="*/ 35 h 48"/>
              <a:gd name="T24" fmla="*/ 9 w 72"/>
              <a:gd name="T25" fmla="*/ 20 h 48"/>
              <a:gd name="T26" fmla="*/ 0 w 72"/>
              <a:gd name="T27"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72" h="48">
                <a:moveTo>
                  <a:pt x="0" y="0"/>
                </a:moveTo>
                <a:lnTo>
                  <a:pt x="23" y="0"/>
                </a:lnTo>
                <a:lnTo>
                  <a:pt x="44" y="6"/>
                </a:lnTo>
                <a:lnTo>
                  <a:pt x="63" y="15"/>
                </a:lnTo>
                <a:lnTo>
                  <a:pt x="68" y="18"/>
                </a:lnTo>
                <a:lnTo>
                  <a:pt x="72" y="22"/>
                </a:lnTo>
                <a:lnTo>
                  <a:pt x="60" y="22"/>
                </a:lnTo>
                <a:lnTo>
                  <a:pt x="49" y="25"/>
                </a:lnTo>
                <a:lnTo>
                  <a:pt x="40" y="33"/>
                </a:lnTo>
                <a:lnTo>
                  <a:pt x="33" y="43"/>
                </a:lnTo>
                <a:lnTo>
                  <a:pt x="32" y="48"/>
                </a:lnTo>
                <a:lnTo>
                  <a:pt x="19" y="35"/>
                </a:lnTo>
                <a:lnTo>
                  <a:pt x="9" y="20"/>
                </a:lnTo>
                <a:lnTo>
                  <a:pt x="0" y="0"/>
                </a:lnTo>
                <a:close/>
              </a:path>
            </a:pathLst>
          </a:custGeom>
          <a:solidFill>
            <a:schemeClr val="accent5"/>
          </a:solidFill>
          <a:ln w="0">
            <a:solidFill>
              <a:schemeClr val="accent5"/>
            </a:solidFill>
            <a:prstDash val="solid"/>
            <a:round/>
            <a:headEnd/>
            <a:tailEnd/>
          </a:ln>
        </xdr:spPr>
      </xdr:sp>
      <xdr:sp macro="" textlink="">
        <xdr:nvSpPr>
          <xdr:cNvPr id="129" name="Freeform 181"/>
          <xdr:cNvSpPr>
            <a:spLocks/>
          </xdr:cNvSpPr>
        </xdr:nvSpPr>
        <xdr:spPr bwMode="auto">
          <a:xfrm>
            <a:off x="857" y="785"/>
            <a:ext cx="12" cy="2"/>
          </a:xfrm>
          <a:custGeom>
            <a:avLst/>
            <a:gdLst>
              <a:gd name="T0" fmla="*/ 0 w 48"/>
              <a:gd name="T1" fmla="*/ 0 h 7"/>
              <a:gd name="T2" fmla="*/ 46 w 48"/>
              <a:gd name="T3" fmla="*/ 0 h 7"/>
              <a:gd name="T4" fmla="*/ 48 w 48"/>
              <a:gd name="T5" fmla="*/ 7 h 7"/>
              <a:gd name="T6" fmla="*/ 23 w 48"/>
              <a:gd name="T7" fmla="*/ 6 h 7"/>
              <a:gd name="T8" fmla="*/ 0 w 48"/>
              <a:gd name="T9" fmla="*/ 0 h 7"/>
            </a:gdLst>
            <a:ahLst/>
            <a:cxnLst>
              <a:cxn ang="0">
                <a:pos x="T0" y="T1"/>
              </a:cxn>
              <a:cxn ang="0">
                <a:pos x="T2" y="T3"/>
              </a:cxn>
              <a:cxn ang="0">
                <a:pos x="T4" y="T5"/>
              </a:cxn>
              <a:cxn ang="0">
                <a:pos x="T6" y="T7"/>
              </a:cxn>
              <a:cxn ang="0">
                <a:pos x="T8" y="T9"/>
              </a:cxn>
            </a:cxnLst>
            <a:rect l="0" t="0" r="r" b="b"/>
            <a:pathLst>
              <a:path w="48" h="7">
                <a:moveTo>
                  <a:pt x="0" y="0"/>
                </a:moveTo>
                <a:lnTo>
                  <a:pt x="46" y="0"/>
                </a:lnTo>
                <a:lnTo>
                  <a:pt x="48" y="7"/>
                </a:lnTo>
                <a:lnTo>
                  <a:pt x="23" y="6"/>
                </a:lnTo>
                <a:lnTo>
                  <a:pt x="0" y="0"/>
                </a:lnTo>
                <a:close/>
              </a:path>
            </a:pathLst>
          </a:custGeom>
          <a:solidFill>
            <a:schemeClr val="accent5"/>
          </a:solidFill>
          <a:ln w="0">
            <a:solidFill>
              <a:schemeClr val="accent5"/>
            </a:solidFill>
            <a:prstDash val="solid"/>
            <a:round/>
            <a:headEnd/>
            <a:tailEnd/>
          </a:ln>
        </xdr:spPr>
      </xdr:sp>
      <xdr:sp macro="" textlink="">
        <xdr:nvSpPr>
          <xdr:cNvPr id="130" name="Freeform 182"/>
          <xdr:cNvSpPr>
            <a:spLocks/>
          </xdr:cNvSpPr>
        </xdr:nvSpPr>
        <xdr:spPr bwMode="auto">
          <a:xfrm>
            <a:off x="869" y="785"/>
            <a:ext cx="16" cy="15"/>
          </a:xfrm>
          <a:custGeom>
            <a:avLst/>
            <a:gdLst>
              <a:gd name="T0" fmla="*/ 16 w 63"/>
              <a:gd name="T1" fmla="*/ 0 h 60"/>
              <a:gd name="T2" fmla="*/ 47 w 63"/>
              <a:gd name="T3" fmla="*/ 0 h 60"/>
              <a:gd name="T4" fmla="*/ 50 w 63"/>
              <a:gd name="T5" fmla="*/ 2 h 60"/>
              <a:gd name="T6" fmla="*/ 58 w 63"/>
              <a:gd name="T7" fmla="*/ 11 h 60"/>
              <a:gd name="T8" fmla="*/ 63 w 63"/>
              <a:gd name="T9" fmla="*/ 22 h 60"/>
              <a:gd name="T10" fmla="*/ 63 w 63"/>
              <a:gd name="T11" fmla="*/ 36 h 60"/>
              <a:gd name="T12" fmla="*/ 59 w 63"/>
              <a:gd name="T13" fmla="*/ 47 h 60"/>
              <a:gd name="T14" fmla="*/ 50 w 63"/>
              <a:gd name="T15" fmla="*/ 56 h 60"/>
              <a:gd name="T16" fmla="*/ 38 w 63"/>
              <a:gd name="T17" fmla="*/ 60 h 60"/>
              <a:gd name="T18" fmla="*/ 25 w 63"/>
              <a:gd name="T19" fmla="*/ 60 h 60"/>
              <a:gd name="T20" fmla="*/ 14 w 63"/>
              <a:gd name="T21" fmla="*/ 56 h 60"/>
              <a:gd name="T22" fmla="*/ 5 w 63"/>
              <a:gd name="T23" fmla="*/ 47 h 60"/>
              <a:gd name="T24" fmla="*/ 1 w 63"/>
              <a:gd name="T25" fmla="*/ 36 h 60"/>
              <a:gd name="T26" fmla="*/ 0 w 63"/>
              <a:gd name="T27" fmla="*/ 22 h 60"/>
              <a:gd name="T28" fmla="*/ 4 w 63"/>
              <a:gd name="T29" fmla="*/ 11 h 60"/>
              <a:gd name="T30" fmla="*/ 7 w 63"/>
              <a:gd name="T31" fmla="*/ 6 h 60"/>
              <a:gd name="T32" fmla="*/ 12 w 63"/>
              <a:gd name="T33" fmla="*/ 3 h 60"/>
              <a:gd name="T34" fmla="*/ 16 w 63"/>
              <a:gd name="T35" fmla="*/ 0 h 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63" h="60">
                <a:moveTo>
                  <a:pt x="16" y="0"/>
                </a:moveTo>
                <a:lnTo>
                  <a:pt x="47" y="0"/>
                </a:lnTo>
                <a:lnTo>
                  <a:pt x="50" y="2"/>
                </a:lnTo>
                <a:lnTo>
                  <a:pt x="58" y="11"/>
                </a:lnTo>
                <a:lnTo>
                  <a:pt x="63" y="22"/>
                </a:lnTo>
                <a:lnTo>
                  <a:pt x="63" y="36"/>
                </a:lnTo>
                <a:lnTo>
                  <a:pt x="59" y="47"/>
                </a:lnTo>
                <a:lnTo>
                  <a:pt x="50" y="56"/>
                </a:lnTo>
                <a:lnTo>
                  <a:pt x="38" y="60"/>
                </a:lnTo>
                <a:lnTo>
                  <a:pt x="25" y="60"/>
                </a:lnTo>
                <a:lnTo>
                  <a:pt x="14" y="56"/>
                </a:lnTo>
                <a:lnTo>
                  <a:pt x="5" y="47"/>
                </a:lnTo>
                <a:lnTo>
                  <a:pt x="1" y="36"/>
                </a:lnTo>
                <a:lnTo>
                  <a:pt x="0" y="22"/>
                </a:lnTo>
                <a:lnTo>
                  <a:pt x="4" y="11"/>
                </a:lnTo>
                <a:lnTo>
                  <a:pt x="7" y="6"/>
                </a:lnTo>
                <a:lnTo>
                  <a:pt x="12" y="3"/>
                </a:lnTo>
                <a:lnTo>
                  <a:pt x="16" y="0"/>
                </a:lnTo>
                <a:close/>
              </a:path>
            </a:pathLst>
          </a:custGeom>
          <a:solidFill>
            <a:schemeClr val="accent5"/>
          </a:solidFill>
          <a:ln w="0">
            <a:solidFill>
              <a:schemeClr val="accent5"/>
            </a:solidFill>
            <a:prstDash val="solid"/>
            <a:round/>
            <a:headEnd/>
            <a:tailEnd/>
          </a:ln>
        </xdr:spPr>
      </xdr:sp>
      <xdr:sp macro="" textlink="">
        <xdr:nvSpPr>
          <xdr:cNvPr id="131" name="Freeform 183"/>
          <xdr:cNvSpPr>
            <a:spLocks/>
          </xdr:cNvSpPr>
        </xdr:nvSpPr>
        <xdr:spPr bwMode="auto">
          <a:xfrm>
            <a:off x="854" y="800"/>
            <a:ext cx="18" cy="27"/>
          </a:xfrm>
          <a:custGeom>
            <a:avLst/>
            <a:gdLst>
              <a:gd name="T0" fmla="*/ 71 w 71"/>
              <a:gd name="T1" fmla="*/ 0 h 107"/>
              <a:gd name="T2" fmla="*/ 71 w 71"/>
              <a:gd name="T3" fmla="*/ 24 h 107"/>
              <a:gd name="T4" fmla="*/ 65 w 71"/>
              <a:gd name="T5" fmla="*/ 44 h 107"/>
              <a:gd name="T6" fmla="*/ 56 w 71"/>
              <a:gd name="T7" fmla="*/ 63 h 107"/>
              <a:gd name="T8" fmla="*/ 42 w 71"/>
              <a:gd name="T9" fmla="*/ 80 h 107"/>
              <a:gd name="T10" fmla="*/ 24 w 71"/>
              <a:gd name="T11" fmla="*/ 95 h 107"/>
              <a:gd name="T12" fmla="*/ 0 w 71"/>
              <a:gd name="T13" fmla="*/ 107 h 107"/>
              <a:gd name="T14" fmla="*/ 2 w 71"/>
              <a:gd name="T15" fmla="*/ 81 h 107"/>
              <a:gd name="T16" fmla="*/ 8 w 71"/>
              <a:gd name="T17" fmla="*/ 58 h 107"/>
              <a:gd name="T18" fmla="*/ 18 w 71"/>
              <a:gd name="T19" fmla="*/ 38 h 107"/>
              <a:gd name="T20" fmla="*/ 32 w 71"/>
              <a:gd name="T21" fmla="*/ 22 h 107"/>
              <a:gd name="T22" fmla="*/ 49 w 71"/>
              <a:gd name="T23" fmla="*/ 9 h 107"/>
              <a:gd name="T24" fmla="*/ 71 w 71"/>
              <a:gd name="T25" fmla="*/ 0 h 1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1" h="107">
                <a:moveTo>
                  <a:pt x="71" y="0"/>
                </a:moveTo>
                <a:lnTo>
                  <a:pt x="71" y="24"/>
                </a:lnTo>
                <a:lnTo>
                  <a:pt x="65" y="44"/>
                </a:lnTo>
                <a:lnTo>
                  <a:pt x="56" y="63"/>
                </a:lnTo>
                <a:lnTo>
                  <a:pt x="42" y="80"/>
                </a:lnTo>
                <a:lnTo>
                  <a:pt x="24" y="95"/>
                </a:lnTo>
                <a:lnTo>
                  <a:pt x="0" y="107"/>
                </a:lnTo>
                <a:lnTo>
                  <a:pt x="2" y="81"/>
                </a:lnTo>
                <a:lnTo>
                  <a:pt x="8" y="58"/>
                </a:lnTo>
                <a:lnTo>
                  <a:pt x="18" y="38"/>
                </a:lnTo>
                <a:lnTo>
                  <a:pt x="32" y="22"/>
                </a:lnTo>
                <a:lnTo>
                  <a:pt x="49" y="9"/>
                </a:lnTo>
                <a:lnTo>
                  <a:pt x="71" y="0"/>
                </a:lnTo>
                <a:close/>
              </a:path>
            </a:pathLst>
          </a:custGeom>
          <a:solidFill>
            <a:schemeClr val="accent5"/>
          </a:solidFill>
          <a:ln w="0">
            <a:solidFill>
              <a:schemeClr val="accent5"/>
            </a:solidFill>
            <a:prstDash val="solid"/>
            <a:round/>
            <a:headEnd/>
            <a:tailEnd/>
          </a:ln>
        </xdr:spPr>
      </xdr:sp>
      <xdr:sp macro="" textlink="">
        <xdr:nvSpPr>
          <xdr:cNvPr id="132" name="Freeform 184"/>
          <xdr:cNvSpPr>
            <a:spLocks/>
          </xdr:cNvSpPr>
        </xdr:nvSpPr>
        <xdr:spPr bwMode="auto">
          <a:xfrm>
            <a:off x="824" y="819"/>
            <a:ext cx="8" cy="16"/>
          </a:xfrm>
          <a:custGeom>
            <a:avLst/>
            <a:gdLst>
              <a:gd name="T0" fmla="*/ 28 w 33"/>
              <a:gd name="T1" fmla="*/ 0 h 66"/>
              <a:gd name="T2" fmla="*/ 32 w 33"/>
              <a:gd name="T3" fmla="*/ 32 h 66"/>
              <a:gd name="T4" fmla="*/ 33 w 33"/>
              <a:gd name="T5" fmla="*/ 66 h 66"/>
              <a:gd name="T6" fmla="*/ 0 w 33"/>
              <a:gd name="T7" fmla="*/ 66 h 66"/>
              <a:gd name="T8" fmla="*/ 3 w 33"/>
              <a:gd name="T9" fmla="*/ 21 h 66"/>
              <a:gd name="T10" fmla="*/ 17 w 33"/>
              <a:gd name="T11" fmla="*/ 12 h 66"/>
              <a:gd name="T12" fmla="*/ 28 w 33"/>
              <a:gd name="T13" fmla="*/ 0 h 66"/>
            </a:gdLst>
            <a:ahLst/>
            <a:cxnLst>
              <a:cxn ang="0">
                <a:pos x="T0" y="T1"/>
              </a:cxn>
              <a:cxn ang="0">
                <a:pos x="T2" y="T3"/>
              </a:cxn>
              <a:cxn ang="0">
                <a:pos x="T4" y="T5"/>
              </a:cxn>
              <a:cxn ang="0">
                <a:pos x="T6" y="T7"/>
              </a:cxn>
              <a:cxn ang="0">
                <a:pos x="T8" y="T9"/>
              </a:cxn>
              <a:cxn ang="0">
                <a:pos x="T10" y="T11"/>
              </a:cxn>
              <a:cxn ang="0">
                <a:pos x="T12" y="T13"/>
              </a:cxn>
            </a:cxnLst>
            <a:rect l="0" t="0" r="r" b="b"/>
            <a:pathLst>
              <a:path w="33" h="66">
                <a:moveTo>
                  <a:pt x="28" y="0"/>
                </a:moveTo>
                <a:lnTo>
                  <a:pt x="32" y="32"/>
                </a:lnTo>
                <a:lnTo>
                  <a:pt x="33" y="66"/>
                </a:lnTo>
                <a:lnTo>
                  <a:pt x="0" y="66"/>
                </a:lnTo>
                <a:lnTo>
                  <a:pt x="3" y="21"/>
                </a:lnTo>
                <a:lnTo>
                  <a:pt x="17" y="12"/>
                </a:lnTo>
                <a:lnTo>
                  <a:pt x="28" y="0"/>
                </a:lnTo>
                <a:close/>
              </a:path>
            </a:pathLst>
          </a:custGeom>
          <a:solidFill>
            <a:schemeClr val="accent6"/>
          </a:solidFill>
          <a:ln w="0">
            <a:solidFill>
              <a:schemeClr val="accent6"/>
            </a:solidFill>
            <a:prstDash val="solid"/>
            <a:round/>
            <a:headEnd/>
            <a:tailEnd/>
          </a:ln>
        </xdr:spPr>
      </xdr:sp>
      <xdr:sp macro="" textlink="">
        <xdr:nvSpPr>
          <xdr:cNvPr id="133" name="Freeform 185"/>
          <xdr:cNvSpPr>
            <a:spLocks/>
          </xdr:cNvSpPr>
        </xdr:nvSpPr>
        <xdr:spPr bwMode="auto">
          <a:xfrm>
            <a:off x="782" y="825"/>
            <a:ext cx="7" cy="5"/>
          </a:xfrm>
          <a:custGeom>
            <a:avLst/>
            <a:gdLst>
              <a:gd name="T0" fmla="*/ 0 w 30"/>
              <a:gd name="T1" fmla="*/ 0 h 24"/>
              <a:gd name="T2" fmla="*/ 14 w 30"/>
              <a:gd name="T3" fmla="*/ 8 h 24"/>
              <a:gd name="T4" fmla="*/ 30 w 30"/>
              <a:gd name="T5" fmla="*/ 18 h 24"/>
              <a:gd name="T6" fmla="*/ 22 w 30"/>
              <a:gd name="T7" fmla="*/ 22 h 24"/>
              <a:gd name="T8" fmla="*/ 14 w 30"/>
              <a:gd name="T9" fmla="*/ 24 h 24"/>
              <a:gd name="T10" fmla="*/ 0 w 30"/>
              <a:gd name="T11" fmla="*/ 0 h 24"/>
            </a:gdLst>
            <a:ahLst/>
            <a:cxnLst>
              <a:cxn ang="0">
                <a:pos x="T0" y="T1"/>
              </a:cxn>
              <a:cxn ang="0">
                <a:pos x="T2" y="T3"/>
              </a:cxn>
              <a:cxn ang="0">
                <a:pos x="T4" y="T5"/>
              </a:cxn>
              <a:cxn ang="0">
                <a:pos x="T6" y="T7"/>
              </a:cxn>
              <a:cxn ang="0">
                <a:pos x="T8" y="T9"/>
              </a:cxn>
              <a:cxn ang="0">
                <a:pos x="T10" y="T11"/>
              </a:cxn>
            </a:cxnLst>
            <a:rect l="0" t="0" r="r" b="b"/>
            <a:pathLst>
              <a:path w="30" h="24">
                <a:moveTo>
                  <a:pt x="0" y="0"/>
                </a:moveTo>
                <a:lnTo>
                  <a:pt x="14" y="8"/>
                </a:lnTo>
                <a:lnTo>
                  <a:pt x="30" y="18"/>
                </a:lnTo>
                <a:lnTo>
                  <a:pt x="22" y="22"/>
                </a:lnTo>
                <a:lnTo>
                  <a:pt x="14" y="24"/>
                </a:lnTo>
                <a:lnTo>
                  <a:pt x="0" y="0"/>
                </a:lnTo>
                <a:close/>
              </a:path>
            </a:pathLst>
          </a:custGeom>
          <a:solidFill>
            <a:schemeClr val="accent6"/>
          </a:solidFill>
          <a:ln w="0">
            <a:solidFill>
              <a:schemeClr val="accent6"/>
            </a:solidFill>
            <a:prstDash val="solid"/>
            <a:round/>
            <a:headEnd/>
            <a:tailEnd/>
          </a:ln>
        </xdr:spPr>
      </xdr:sp>
      <xdr:sp macro="" textlink="">
        <xdr:nvSpPr>
          <xdr:cNvPr id="134" name="Freeform 186"/>
          <xdr:cNvSpPr>
            <a:spLocks/>
          </xdr:cNvSpPr>
        </xdr:nvSpPr>
        <xdr:spPr bwMode="auto">
          <a:xfrm>
            <a:off x="858" y="825"/>
            <a:ext cx="16" cy="10"/>
          </a:xfrm>
          <a:custGeom>
            <a:avLst/>
            <a:gdLst>
              <a:gd name="T0" fmla="*/ 63 w 63"/>
              <a:gd name="T1" fmla="*/ 0 h 42"/>
              <a:gd name="T2" fmla="*/ 50 w 63"/>
              <a:gd name="T3" fmla="*/ 20 h 42"/>
              <a:gd name="T4" fmla="*/ 35 w 63"/>
              <a:gd name="T5" fmla="*/ 42 h 42"/>
              <a:gd name="T6" fmla="*/ 0 w 63"/>
              <a:gd name="T7" fmla="*/ 42 h 42"/>
              <a:gd name="T8" fmla="*/ 21 w 63"/>
              <a:gd name="T9" fmla="*/ 26 h 42"/>
              <a:gd name="T10" fmla="*/ 42 w 63"/>
              <a:gd name="T11" fmla="*/ 11 h 42"/>
              <a:gd name="T12" fmla="*/ 63 w 63"/>
              <a:gd name="T13" fmla="*/ 0 h 42"/>
            </a:gdLst>
            <a:ahLst/>
            <a:cxnLst>
              <a:cxn ang="0">
                <a:pos x="T0" y="T1"/>
              </a:cxn>
              <a:cxn ang="0">
                <a:pos x="T2" y="T3"/>
              </a:cxn>
              <a:cxn ang="0">
                <a:pos x="T4" y="T5"/>
              </a:cxn>
              <a:cxn ang="0">
                <a:pos x="T6" y="T7"/>
              </a:cxn>
              <a:cxn ang="0">
                <a:pos x="T8" y="T9"/>
              </a:cxn>
              <a:cxn ang="0">
                <a:pos x="T10" y="T11"/>
              </a:cxn>
              <a:cxn ang="0">
                <a:pos x="T12" y="T13"/>
              </a:cxn>
            </a:cxnLst>
            <a:rect l="0" t="0" r="r" b="b"/>
            <a:pathLst>
              <a:path w="63" h="42">
                <a:moveTo>
                  <a:pt x="63" y="0"/>
                </a:moveTo>
                <a:lnTo>
                  <a:pt x="50" y="20"/>
                </a:lnTo>
                <a:lnTo>
                  <a:pt x="35" y="42"/>
                </a:lnTo>
                <a:lnTo>
                  <a:pt x="0" y="42"/>
                </a:lnTo>
                <a:lnTo>
                  <a:pt x="21" y="26"/>
                </a:lnTo>
                <a:lnTo>
                  <a:pt x="42" y="11"/>
                </a:lnTo>
                <a:lnTo>
                  <a:pt x="63" y="0"/>
                </a:lnTo>
                <a:close/>
              </a:path>
            </a:pathLst>
          </a:custGeom>
          <a:solidFill>
            <a:schemeClr val="accent6"/>
          </a:solidFill>
          <a:ln w="0">
            <a:solidFill>
              <a:schemeClr val="accent6"/>
            </a:solidFill>
            <a:prstDash val="solid"/>
            <a:round/>
            <a:headEnd/>
            <a:tailEnd/>
          </a:ln>
        </xdr:spPr>
      </xdr:sp>
      <xdr:sp macro="" textlink="">
        <xdr:nvSpPr>
          <xdr:cNvPr id="135" name="Freeform 187"/>
          <xdr:cNvSpPr>
            <a:spLocks/>
          </xdr:cNvSpPr>
        </xdr:nvSpPr>
        <xdr:spPr bwMode="auto">
          <a:xfrm>
            <a:off x="729" y="785"/>
            <a:ext cx="105" cy="50"/>
          </a:xfrm>
          <a:custGeom>
            <a:avLst/>
            <a:gdLst>
              <a:gd name="T0" fmla="*/ 373 w 417"/>
              <a:gd name="T1" fmla="*/ 0 h 201"/>
              <a:gd name="T2" fmla="*/ 365 w 417"/>
              <a:gd name="T3" fmla="*/ 25 h 201"/>
              <a:gd name="T4" fmla="*/ 354 w 417"/>
              <a:gd name="T5" fmla="*/ 39 h 201"/>
              <a:gd name="T6" fmla="*/ 376 w 417"/>
              <a:gd name="T7" fmla="*/ 42 h 201"/>
              <a:gd name="T8" fmla="*/ 405 w 417"/>
              <a:gd name="T9" fmla="*/ 64 h 201"/>
              <a:gd name="T10" fmla="*/ 417 w 417"/>
              <a:gd name="T11" fmla="*/ 100 h 201"/>
              <a:gd name="T12" fmla="*/ 407 w 417"/>
              <a:gd name="T13" fmla="*/ 135 h 201"/>
              <a:gd name="T14" fmla="*/ 396 w 417"/>
              <a:gd name="T15" fmla="*/ 82 h 201"/>
              <a:gd name="T16" fmla="*/ 382 w 417"/>
              <a:gd name="T17" fmla="*/ 156 h 201"/>
              <a:gd name="T18" fmla="*/ 357 w 417"/>
              <a:gd name="T19" fmla="*/ 161 h 201"/>
              <a:gd name="T20" fmla="*/ 357 w 417"/>
              <a:gd name="T21" fmla="*/ 164 h 201"/>
              <a:gd name="T22" fmla="*/ 366 w 417"/>
              <a:gd name="T23" fmla="*/ 175 h 201"/>
              <a:gd name="T24" fmla="*/ 374 w 417"/>
              <a:gd name="T25" fmla="*/ 201 h 201"/>
              <a:gd name="T26" fmla="*/ 244 w 417"/>
              <a:gd name="T27" fmla="*/ 177 h 201"/>
              <a:gd name="T28" fmla="*/ 273 w 417"/>
              <a:gd name="T29" fmla="*/ 153 h 201"/>
              <a:gd name="T30" fmla="*/ 290 w 417"/>
              <a:gd name="T31" fmla="*/ 121 h 201"/>
              <a:gd name="T32" fmla="*/ 289 w 417"/>
              <a:gd name="T33" fmla="*/ 77 h 201"/>
              <a:gd name="T34" fmla="*/ 267 w 417"/>
              <a:gd name="T35" fmla="*/ 41 h 201"/>
              <a:gd name="T36" fmla="*/ 230 w 417"/>
              <a:gd name="T37" fmla="*/ 20 h 201"/>
              <a:gd name="T38" fmla="*/ 186 w 417"/>
              <a:gd name="T39" fmla="*/ 20 h 201"/>
              <a:gd name="T40" fmla="*/ 149 w 417"/>
              <a:gd name="T41" fmla="*/ 41 h 201"/>
              <a:gd name="T42" fmla="*/ 127 w 417"/>
              <a:gd name="T43" fmla="*/ 79 h 201"/>
              <a:gd name="T44" fmla="*/ 127 w 417"/>
              <a:gd name="T45" fmla="*/ 124 h 201"/>
              <a:gd name="T46" fmla="*/ 150 w 417"/>
              <a:gd name="T47" fmla="*/ 160 h 201"/>
              <a:gd name="T48" fmla="*/ 187 w 417"/>
              <a:gd name="T49" fmla="*/ 182 h 201"/>
              <a:gd name="T50" fmla="*/ 228 w 417"/>
              <a:gd name="T51" fmla="*/ 183 h 201"/>
              <a:gd name="T52" fmla="*/ 71 w 417"/>
              <a:gd name="T53" fmla="*/ 201 h 201"/>
              <a:gd name="T54" fmla="*/ 57 w 417"/>
              <a:gd name="T55" fmla="*/ 195 h 201"/>
              <a:gd name="T56" fmla="*/ 50 w 417"/>
              <a:gd name="T57" fmla="*/ 178 h 201"/>
              <a:gd name="T58" fmla="*/ 60 w 417"/>
              <a:gd name="T59" fmla="*/ 165 h 201"/>
              <a:gd name="T60" fmla="*/ 60 w 417"/>
              <a:gd name="T61" fmla="*/ 162 h 201"/>
              <a:gd name="T62" fmla="*/ 47 w 417"/>
              <a:gd name="T63" fmla="*/ 159 h 201"/>
              <a:gd name="T64" fmla="*/ 11 w 417"/>
              <a:gd name="T65" fmla="*/ 138 h 201"/>
              <a:gd name="T66" fmla="*/ 0 w 417"/>
              <a:gd name="T67" fmla="*/ 111 h 201"/>
              <a:gd name="T68" fmla="*/ 44 w 417"/>
              <a:gd name="T69" fmla="*/ 91 h 201"/>
              <a:gd name="T70" fmla="*/ 0 w 417"/>
              <a:gd name="T71" fmla="*/ 93 h 201"/>
              <a:gd name="T72" fmla="*/ 13 w 417"/>
              <a:gd name="T73" fmla="*/ 62 h 201"/>
              <a:gd name="T74" fmla="*/ 41 w 417"/>
              <a:gd name="T75" fmla="*/ 43 h 201"/>
              <a:gd name="T76" fmla="*/ 62 w 417"/>
              <a:gd name="T77" fmla="*/ 40 h 201"/>
              <a:gd name="T78" fmla="*/ 51 w 417"/>
              <a:gd name="T79" fmla="*/ 26 h 201"/>
              <a:gd name="T80" fmla="*/ 42 w 417"/>
              <a:gd name="T81" fmla="*/ 0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417" h="201">
                <a:moveTo>
                  <a:pt x="42" y="0"/>
                </a:moveTo>
                <a:lnTo>
                  <a:pt x="373" y="0"/>
                </a:lnTo>
                <a:lnTo>
                  <a:pt x="370" y="13"/>
                </a:lnTo>
                <a:lnTo>
                  <a:pt x="365" y="25"/>
                </a:lnTo>
                <a:lnTo>
                  <a:pt x="356" y="37"/>
                </a:lnTo>
                <a:lnTo>
                  <a:pt x="354" y="39"/>
                </a:lnTo>
                <a:lnTo>
                  <a:pt x="357" y="39"/>
                </a:lnTo>
                <a:lnTo>
                  <a:pt x="376" y="42"/>
                </a:lnTo>
                <a:lnTo>
                  <a:pt x="393" y="50"/>
                </a:lnTo>
                <a:lnTo>
                  <a:pt x="405" y="64"/>
                </a:lnTo>
                <a:lnTo>
                  <a:pt x="414" y="81"/>
                </a:lnTo>
                <a:lnTo>
                  <a:pt x="417" y="100"/>
                </a:lnTo>
                <a:lnTo>
                  <a:pt x="415" y="118"/>
                </a:lnTo>
                <a:lnTo>
                  <a:pt x="407" y="135"/>
                </a:lnTo>
                <a:lnTo>
                  <a:pt x="402" y="107"/>
                </a:lnTo>
                <a:lnTo>
                  <a:pt x="396" y="82"/>
                </a:lnTo>
                <a:lnTo>
                  <a:pt x="387" y="116"/>
                </a:lnTo>
                <a:lnTo>
                  <a:pt x="382" y="156"/>
                </a:lnTo>
                <a:lnTo>
                  <a:pt x="370" y="160"/>
                </a:lnTo>
                <a:lnTo>
                  <a:pt x="357" y="161"/>
                </a:lnTo>
                <a:lnTo>
                  <a:pt x="354" y="161"/>
                </a:lnTo>
                <a:lnTo>
                  <a:pt x="357" y="164"/>
                </a:lnTo>
                <a:lnTo>
                  <a:pt x="357" y="164"/>
                </a:lnTo>
                <a:lnTo>
                  <a:pt x="366" y="175"/>
                </a:lnTo>
                <a:lnTo>
                  <a:pt x="371" y="187"/>
                </a:lnTo>
                <a:lnTo>
                  <a:pt x="374" y="201"/>
                </a:lnTo>
                <a:lnTo>
                  <a:pt x="276" y="201"/>
                </a:lnTo>
                <a:lnTo>
                  <a:pt x="244" y="177"/>
                </a:lnTo>
                <a:lnTo>
                  <a:pt x="259" y="167"/>
                </a:lnTo>
                <a:lnTo>
                  <a:pt x="273" y="153"/>
                </a:lnTo>
                <a:lnTo>
                  <a:pt x="283" y="138"/>
                </a:lnTo>
                <a:lnTo>
                  <a:pt x="290" y="121"/>
                </a:lnTo>
                <a:lnTo>
                  <a:pt x="292" y="100"/>
                </a:lnTo>
                <a:lnTo>
                  <a:pt x="289" y="77"/>
                </a:lnTo>
                <a:lnTo>
                  <a:pt x="280" y="58"/>
                </a:lnTo>
                <a:lnTo>
                  <a:pt x="267" y="41"/>
                </a:lnTo>
                <a:lnTo>
                  <a:pt x="249" y="28"/>
                </a:lnTo>
                <a:lnTo>
                  <a:pt x="230" y="20"/>
                </a:lnTo>
                <a:lnTo>
                  <a:pt x="208" y="16"/>
                </a:lnTo>
                <a:lnTo>
                  <a:pt x="186" y="20"/>
                </a:lnTo>
                <a:lnTo>
                  <a:pt x="165" y="28"/>
                </a:lnTo>
                <a:lnTo>
                  <a:pt x="149" y="41"/>
                </a:lnTo>
                <a:lnTo>
                  <a:pt x="136" y="58"/>
                </a:lnTo>
                <a:lnTo>
                  <a:pt x="127" y="79"/>
                </a:lnTo>
                <a:lnTo>
                  <a:pt x="125" y="101"/>
                </a:lnTo>
                <a:lnTo>
                  <a:pt x="127" y="124"/>
                </a:lnTo>
                <a:lnTo>
                  <a:pt x="136" y="143"/>
                </a:lnTo>
                <a:lnTo>
                  <a:pt x="150" y="160"/>
                </a:lnTo>
                <a:lnTo>
                  <a:pt x="166" y="174"/>
                </a:lnTo>
                <a:lnTo>
                  <a:pt x="187" y="182"/>
                </a:lnTo>
                <a:lnTo>
                  <a:pt x="208" y="185"/>
                </a:lnTo>
                <a:lnTo>
                  <a:pt x="228" y="183"/>
                </a:lnTo>
                <a:lnTo>
                  <a:pt x="242" y="201"/>
                </a:lnTo>
                <a:lnTo>
                  <a:pt x="71" y="201"/>
                </a:lnTo>
                <a:lnTo>
                  <a:pt x="68" y="200"/>
                </a:lnTo>
                <a:lnTo>
                  <a:pt x="57" y="195"/>
                </a:lnTo>
                <a:lnTo>
                  <a:pt x="44" y="193"/>
                </a:lnTo>
                <a:lnTo>
                  <a:pt x="50" y="178"/>
                </a:lnTo>
                <a:lnTo>
                  <a:pt x="60" y="165"/>
                </a:lnTo>
                <a:lnTo>
                  <a:pt x="60" y="165"/>
                </a:lnTo>
                <a:lnTo>
                  <a:pt x="62" y="162"/>
                </a:lnTo>
                <a:lnTo>
                  <a:pt x="60" y="162"/>
                </a:lnTo>
                <a:lnTo>
                  <a:pt x="41" y="159"/>
                </a:lnTo>
                <a:lnTo>
                  <a:pt x="47" y="159"/>
                </a:lnTo>
                <a:lnTo>
                  <a:pt x="20" y="148"/>
                </a:lnTo>
                <a:lnTo>
                  <a:pt x="11" y="138"/>
                </a:lnTo>
                <a:lnTo>
                  <a:pt x="4" y="125"/>
                </a:lnTo>
                <a:lnTo>
                  <a:pt x="0" y="111"/>
                </a:lnTo>
                <a:lnTo>
                  <a:pt x="24" y="102"/>
                </a:lnTo>
                <a:lnTo>
                  <a:pt x="44" y="91"/>
                </a:lnTo>
                <a:lnTo>
                  <a:pt x="23" y="91"/>
                </a:lnTo>
                <a:lnTo>
                  <a:pt x="0" y="93"/>
                </a:lnTo>
                <a:lnTo>
                  <a:pt x="4" y="76"/>
                </a:lnTo>
                <a:lnTo>
                  <a:pt x="13" y="62"/>
                </a:lnTo>
                <a:lnTo>
                  <a:pt x="26" y="50"/>
                </a:lnTo>
                <a:lnTo>
                  <a:pt x="41" y="43"/>
                </a:lnTo>
                <a:lnTo>
                  <a:pt x="59" y="40"/>
                </a:lnTo>
                <a:lnTo>
                  <a:pt x="62" y="40"/>
                </a:lnTo>
                <a:lnTo>
                  <a:pt x="60" y="38"/>
                </a:lnTo>
                <a:lnTo>
                  <a:pt x="51" y="26"/>
                </a:lnTo>
                <a:lnTo>
                  <a:pt x="45" y="14"/>
                </a:lnTo>
                <a:lnTo>
                  <a:pt x="42" y="0"/>
                </a:lnTo>
                <a:close/>
              </a:path>
            </a:pathLst>
          </a:custGeom>
          <a:solidFill>
            <a:schemeClr val="accent1"/>
          </a:solidFill>
          <a:ln w="0">
            <a:solidFill>
              <a:schemeClr val="accent1"/>
            </a:solidFill>
            <a:prstDash val="solid"/>
            <a:round/>
            <a:headEnd/>
            <a:tailEnd/>
          </a:ln>
        </xdr:spPr>
      </xdr:sp>
      <xdr:sp macro="" textlink="">
        <xdr:nvSpPr>
          <xdr:cNvPr id="136" name="Freeform 188"/>
          <xdr:cNvSpPr>
            <a:spLocks/>
          </xdr:cNvSpPr>
        </xdr:nvSpPr>
        <xdr:spPr bwMode="auto">
          <a:xfrm>
            <a:off x="740" y="833"/>
            <a:ext cx="7" cy="2"/>
          </a:xfrm>
          <a:custGeom>
            <a:avLst/>
            <a:gdLst>
              <a:gd name="T0" fmla="*/ 1 w 28"/>
              <a:gd name="T1" fmla="*/ 0 h 8"/>
              <a:gd name="T2" fmla="*/ 14 w 28"/>
              <a:gd name="T3" fmla="*/ 2 h 8"/>
              <a:gd name="T4" fmla="*/ 25 w 28"/>
              <a:gd name="T5" fmla="*/ 7 h 8"/>
              <a:gd name="T6" fmla="*/ 28 w 28"/>
              <a:gd name="T7" fmla="*/ 8 h 8"/>
              <a:gd name="T8" fmla="*/ 0 w 28"/>
              <a:gd name="T9" fmla="*/ 8 h 8"/>
              <a:gd name="T10" fmla="*/ 1 w 28"/>
              <a:gd name="T11" fmla="*/ 0 h 8"/>
            </a:gdLst>
            <a:ahLst/>
            <a:cxnLst>
              <a:cxn ang="0">
                <a:pos x="T0" y="T1"/>
              </a:cxn>
              <a:cxn ang="0">
                <a:pos x="T2" y="T3"/>
              </a:cxn>
              <a:cxn ang="0">
                <a:pos x="T4" y="T5"/>
              </a:cxn>
              <a:cxn ang="0">
                <a:pos x="T6" y="T7"/>
              </a:cxn>
              <a:cxn ang="0">
                <a:pos x="T8" y="T9"/>
              </a:cxn>
              <a:cxn ang="0">
                <a:pos x="T10" y="T11"/>
              </a:cxn>
            </a:cxnLst>
            <a:rect l="0" t="0" r="r" b="b"/>
            <a:pathLst>
              <a:path w="28" h="8">
                <a:moveTo>
                  <a:pt x="1" y="0"/>
                </a:moveTo>
                <a:lnTo>
                  <a:pt x="14" y="2"/>
                </a:lnTo>
                <a:lnTo>
                  <a:pt x="25" y="7"/>
                </a:lnTo>
                <a:lnTo>
                  <a:pt x="28" y="8"/>
                </a:lnTo>
                <a:lnTo>
                  <a:pt x="0" y="8"/>
                </a:lnTo>
                <a:lnTo>
                  <a:pt x="1" y="0"/>
                </a:lnTo>
                <a:close/>
              </a:path>
            </a:pathLst>
          </a:custGeom>
          <a:solidFill>
            <a:srgbClr val="FBD200"/>
          </a:solidFill>
          <a:ln w="0">
            <a:noFill/>
            <a:prstDash val="solid"/>
            <a:round/>
            <a:headEnd/>
            <a:tailEnd/>
          </a:ln>
        </xdr:spPr>
      </xdr:sp>
      <xdr:sp macro="" textlink="">
        <xdr:nvSpPr>
          <xdr:cNvPr id="137" name="Freeform 189"/>
          <xdr:cNvSpPr>
            <a:spLocks/>
          </xdr:cNvSpPr>
        </xdr:nvSpPr>
        <xdr:spPr bwMode="auto">
          <a:xfrm>
            <a:off x="825" y="805"/>
            <a:ext cx="6" cy="19"/>
          </a:xfrm>
          <a:custGeom>
            <a:avLst/>
            <a:gdLst>
              <a:gd name="T0" fmla="*/ 14 w 25"/>
              <a:gd name="T1" fmla="*/ 0 h 74"/>
              <a:gd name="T2" fmla="*/ 20 w 25"/>
              <a:gd name="T3" fmla="*/ 25 h 74"/>
              <a:gd name="T4" fmla="*/ 25 w 25"/>
              <a:gd name="T5" fmla="*/ 53 h 74"/>
              <a:gd name="T6" fmla="*/ 14 w 25"/>
              <a:gd name="T7" fmla="*/ 65 h 74"/>
              <a:gd name="T8" fmla="*/ 0 w 25"/>
              <a:gd name="T9" fmla="*/ 74 h 74"/>
              <a:gd name="T10" fmla="*/ 5 w 25"/>
              <a:gd name="T11" fmla="*/ 34 h 74"/>
              <a:gd name="T12" fmla="*/ 14 w 25"/>
              <a:gd name="T13" fmla="*/ 0 h 74"/>
            </a:gdLst>
            <a:ahLst/>
            <a:cxnLst>
              <a:cxn ang="0">
                <a:pos x="T0" y="T1"/>
              </a:cxn>
              <a:cxn ang="0">
                <a:pos x="T2" y="T3"/>
              </a:cxn>
              <a:cxn ang="0">
                <a:pos x="T4" y="T5"/>
              </a:cxn>
              <a:cxn ang="0">
                <a:pos x="T6" y="T7"/>
              </a:cxn>
              <a:cxn ang="0">
                <a:pos x="T8" y="T9"/>
              </a:cxn>
              <a:cxn ang="0">
                <a:pos x="T10" y="T11"/>
              </a:cxn>
              <a:cxn ang="0">
                <a:pos x="T12" y="T13"/>
              </a:cxn>
            </a:cxnLst>
            <a:rect l="0" t="0" r="r" b="b"/>
            <a:pathLst>
              <a:path w="25" h="74">
                <a:moveTo>
                  <a:pt x="14" y="0"/>
                </a:moveTo>
                <a:lnTo>
                  <a:pt x="20" y="25"/>
                </a:lnTo>
                <a:lnTo>
                  <a:pt x="25" y="53"/>
                </a:lnTo>
                <a:lnTo>
                  <a:pt x="14" y="65"/>
                </a:lnTo>
                <a:lnTo>
                  <a:pt x="0" y="74"/>
                </a:lnTo>
                <a:lnTo>
                  <a:pt x="5" y="34"/>
                </a:lnTo>
                <a:lnTo>
                  <a:pt x="14"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138" name="Freeform 190"/>
          <xdr:cNvSpPr>
            <a:spLocks/>
          </xdr:cNvSpPr>
        </xdr:nvSpPr>
        <xdr:spPr bwMode="auto">
          <a:xfrm>
            <a:off x="786" y="829"/>
            <a:ext cx="12" cy="6"/>
          </a:xfrm>
          <a:custGeom>
            <a:avLst/>
            <a:gdLst>
              <a:gd name="T0" fmla="*/ 16 w 48"/>
              <a:gd name="T1" fmla="*/ 0 h 24"/>
              <a:gd name="T2" fmla="*/ 48 w 48"/>
              <a:gd name="T3" fmla="*/ 24 h 24"/>
              <a:gd name="T4" fmla="*/ 14 w 48"/>
              <a:gd name="T5" fmla="*/ 24 h 24"/>
              <a:gd name="T6" fmla="*/ 0 w 48"/>
              <a:gd name="T7" fmla="*/ 6 h 24"/>
              <a:gd name="T8" fmla="*/ 8 w 48"/>
              <a:gd name="T9" fmla="*/ 4 h 24"/>
              <a:gd name="T10" fmla="*/ 16 w 48"/>
              <a:gd name="T11" fmla="*/ 0 h 24"/>
            </a:gdLst>
            <a:ahLst/>
            <a:cxnLst>
              <a:cxn ang="0">
                <a:pos x="T0" y="T1"/>
              </a:cxn>
              <a:cxn ang="0">
                <a:pos x="T2" y="T3"/>
              </a:cxn>
              <a:cxn ang="0">
                <a:pos x="T4" y="T5"/>
              </a:cxn>
              <a:cxn ang="0">
                <a:pos x="T6" y="T7"/>
              </a:cxn>
              <a:cxn ang="0">
                <a:pos x="T8" y="T9"/>
              </a:cxn>
              <a:cxn ang="0">
                <a:pos x="T10" y="T11"/>
              </a:cxn>
            </a:cxnLst>
            <a:rect l="0" t="0" r="r" b="b"/>
            <a:pathLst>
              <a:path w="48" h="24">
                <a:moveTo>
                  <a:pt x="16" y="0"/>
                </a:moveTo>
                <a:lnTo>
                  <a:pt x="48" y="24"/>
                </a:lnTo>
                <a:lnTo>
                  <a:pt x="14" y="24"/>
                </a:lnTo>
                <a:lnTo>
                  <a:pt x="0" y="6"/>
                </a:lnTo>
                <a:lnTo>
                  <a:pt x="8" y="4"/>
                </a:lnTo>
                <a:lnTo>
                  <a:pt x="16" y="0"/>
                </a:lnTo>
                <a:close/>
              </a:path>
            </a:pathLst>
          </a:custGeom>
          <a:solidFill>
            <a:schemeClr val="accent6">
              <a:lumMod val="75000"/>
            </a:schemeClr>
          </a:solidFill>
          <a:ln w="0">
            <a:solidFill>
              <a:schemeClr val="accent6">
                <a:lumMod val="75000"/>
              </a:schemeClr>
            </a:solidFill>
            <a:prstDash val="solid"/>
            <a:round/>
            <a:headEnd/>
            <a:tailEnd/>
          </a:ln>
        </xdr:spPr>
      </xdr:sp>
      <xdr:sp macro="" textlink="">
        <xdr:nvSpPr>
          <xdr:cNvPr id="139" name="Freeform 191"/>
          <xdr:cNvSpPr>
            <a:spLocks noEditPoints="1"/>
          </xdr:cNvSpPr>
        </xdr:nvSpPr>
        <xdr:spPr bwMode="auto">
          <a:xfrm>
            <a:off x="893" y="791"/>
            <a:ext cx="56" cy="44"/>
          </a:xfrm>
          <a:custGeom>
            <a:avLst/>
            <a:gdLst>
              <a:gd name="T0" fmla="*/ 99 w 222"/>
              <a:gd name="T1" fmla="*/ 86 h 178"/>
              <a:gd name="T2" fmla="*/ 84 w 222"/>
              <a:gd name="T3" fmla="*/ 102 h 178"/>
              <a:gd name="T4" fmla="*/ 85 w 222"/>
              <a:gd name="T5" fmla="*/ 124 h 178"/>
              <a:gd name="T6" fmla="*/ 101 w 222"/>
              <a:gd name="T7" fmla="*/ 138 h 178"/>
              <a:gd name="T8" fmla="*/ 122 w 222"/>
              <a:gd name="T9" fmla="*/ 138 h 178"/>
              <a:gd name="T10" fmla="*/ 137 w 222"/>
              <a:gd name="T11" fmla="*/ 122 h 178"/>
              <a:gd name="T12" fmla="*/ 137 w 222"/>
              <a:gd name="T13" fmla="*/ 100 h 178"/>
              <a:gd name="T14" fmla="*/ 120 w 222"/>
              <a:gd name="T15" fmla="*/ 85 h 178"/>
              <a:gd name="T16" fmla="*/ 139 w 222"/>
              <a:gd name="T17" fmla="*/ 0 h 178"/>
              <a:gd name="T18" fmla="*/ 163 w 222"/>
              <a:gd name="T19" fmla="*/ 9 h 178"/>
              <a:gd name="T20" fmla="*/ 174 w 222"/>
              <a:gd name="T21" fmla="*/ 32 h 178"/>
              <a:gd name="T22" fmla="*/ 170 w 222"/>
              <a:gd name="T23" fmla="*/ 48 h 178"/>
              <a:gd name="T24" fmla="*/ 185 w 222"/>
              <a:gd name="T25" fmla="*/ 43 h 178"/>
              <a:gd name="T26" fmla="*/ 208 w 222"/>
              <a:gd name="T27" fmla="*/ 52 h 178"/>
              <a:gd name="T28" fmla="*/ 220 w 222"/>
              <a:gd name="T29" fmla="*/ 77 h 178"/>
              <a:gd name="T30" fmla="*/ 211 w 222"/>
              <a:gd name="T31" fmla="*/ 101 h 178"/>
              <a:gd name="T32" fmla="*/ 198 w 222"/>
              <a:gd name="T33" fmla="*/ 109 h 178"/>
              <a:gd name="T34" fmla="*/ 211 w 222"/>
              <a:gd name="T35" fmla="*/ 117 h 178"/>
              <a:gd name="T36" fmla="*/ 222 w 222"/>
              <a:gd name="T37" fmla="*/ 141 h 178"/>
              <a:gd name="T38" fmla="*/ 213 w 222"/>
              <a:gd name="T39" fmla="*/ 166 h 178"/>
              <a:gd name="T40" fmla="*/ 189 w 222"/>
              <a:gd name="T41" fmla="*/ 176 h 178"/>
              <a:gd name="T42" fmla="*/ 175 w 222"/>
              <a:gd name="T43" fmla="*/ 172 h 178"/>
              <a:gd name="T44" fmla="*/ 175 w 222"/>
              <a:gd name="T45" fmla="*/ 175 h 178"/>
              <a:gd name="T46" fmla="*/ 49 w 222"/>
              <a:gd name="T47" fmla="*/ 178 h 178"/>
              <a:gd name="T48" fmla="*/ 50 w 222"/>
              <a:gd name="T49" fmla="*/ 177 h 178"/>
              <a:gd name="T50" fmla="*/ 46 w 222"/>
              <a:gd name="T51" fmla="*/ 178 h 178"/>
              <a:gd name="T52" fmla="*/ 24 w 222"/>
              <a:gd name="T53" fmla="*/ 178 h 178"/>
              <a:gd name="T54" fmla="*/ 5 w 222"/>
              <a:gd name="T55" fmla="*/ 161 h 178"/>
              <a:gd name="T56" fmla="*/ 3 w 222"/>
              <a:gd name="T57" fmla="*/ 135 h 178"/>
              <a:gd name="T58" fmla="*/ 10 w 222"/>
              <a:gd name="T59" fmla="*/ 124 h 178"/>
              <a:gd name="T60" fmla="*/ 21 w 222"/>
              <a:gd name="T61" fmla="*/ 116 h 178"/>
              <a:gd name="T62" fmla="*/ 21 w 222"/>
              <a:gd name="T63" fmla="*/ 115 h 178"/>
              <a:gd name="T64" fmla="*/ 3 w 222"/>
              <a:gd name="T65" fmla="*/ 99 h 178"/>
              <a:gd name="T66" fmla="*/ 0 w 222"/>
              <a:gd name="T67" fmla="*/ 75 h 178"/>
              <a:gd name="T68" fmla="*/ 26 w 222"/>
              <a:gd name="T69" fmla="*/ 90 h 178"/>
              <a:gd name="T70" fmla="*/ 74 w 222"/>
              <a:gd name="T71" fmla="*/ 99 h 178"/>
              <a:gd name="T72" fmla="*/ 53 w 222"/>
              <a:gd name="T73" fmla="*/ 62 h 178"/>
              <a:gd name="T74" fmla="*/ 45 w 222"/>
              <a:gd name="T75" fmla="*/ 50 h 178"/>
              <a:gd name="T76" fmla="*/ 46 w 222"/>
              <a:gd name="T77" fmla="*/ 50 h 178"/>
              <a:gd name="T78" fmla="*/ 45 w 222"/>
              <a:gd name="T79" fmla="*/ 24 h 178"/>
              <a:gd name="T80" fmla="*/ 52 w 222"/>
              <a:gd name="T81" fmla="*/ 13 h 178"/>
              <a:gd name="T82" fmla="*/ 75 w 222"/>
              <a:gd name="T83" fmla="*/ 1 h 178"/>
              <a:gd name="T84" fmla="*/ 100 w 222"/>
              <a:gd name="T85" fmla="*/ 10 h 178"/>
              <a:gd name="T86" fmla="*/ 108 w 222"/>
              <a:gd name="T87" fmla="*/ 22 h 178"/>
              <a:gd name="T88" fmla="*/ 109 w 222"/>
              <a:gd name="T89" fmla="*/ 22 h 178"/>
              <a:gd name="T90" fmla="*/ 126 w 222"/>
              <a:gd name="T91" fmla="*/ 2 h 1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222" h="178">
                <a:moveTo>
                  <a:pt x="110" y="83"/>
                </a:moveTo>
                <a:lnTo>
                  <a:pt x="99" y="86"/>
                </a:lnTo>
                <a:lnTo>
                  <a:pt x="90" y="92"/>
                </a:lnTo>
                <a:lnTo>
                  <a:pt x="84" y="102"/>
                </a:lnTo>
                <a:lnTo>
                  <a:pt x="82" y="113"/>
                </a:lnTo>
                <a:lnTo>
                  <a:pt x="85" y="124"/>
                </a:lnTo>
                <a:lnTo>
                  <a:pt x="91" y="133"/>
                </a:lnTo>
                <a:lnTo>
                  <a:pt x="101" y="138"/>
                </a:lnTo>
                <a:lnTo>
                  <a:pt x="112" y="141"/>
                </a:lnTo>
                <a:lnTo>
                  <a:pt x="122" y="138"/>
                </a:lnTo>
                <a:lnTo>
                  <a:pt x="131" y="132"/>
                </a:lnTo>
                <a:lnTo>
                  <a:pt x="137" y="122"/>
                </a:lnTo>
                <a:lnTo>
                  <a:pt x="139" y="111"/>
                </a:lnTo>
                <a:lnTo>
                  <a:pt x="137" y="100"/>
                </a:lnTo>
                <a:lnTo>
                  <a:pt x="130" y="91"/>
                </a:lnTo>
                <a:lnTo>
                  <a:pt x="120" y="85"/>
                </a:lnTo>
                <a:lnTo>
                  <a:pt x="110" y="83"/>
                </a:lnTo>
                <a:close/>
                <a:moveTo>
                  <a:pt x="139" y="0"/>
                </a:moveTo>
                <a:lnTo>
                  <a:pt x="151" y="1"/>
                </a:lnTo>
                <a:lnTo>
                  <a:pt x="163" y="9"/>
                </a:lnTo>
                <a:lnTo>
                  <a:pt x="170" y="19"/>
                </a:lnTo>
                <a:lnTo>
                  <a:pt x="174" y="32"/>
                </a:lnTo>
                <a:lnTo>
                  <a:pt x="171" y="45"/>
                </a:lnTo>
                <a:lnTo>
                  <a:pt x="170" y="48"/>
                </a:lnTo>
                <a:lnTo>
                  <a:pt x="173" y="47"/>
                </a:lnTo>
                <a:lnTo>
                  <a:pt x="185" y="43"/>
                </a:lnTo>
                <a:lnTo>
                  <a:pt x="198" y="45"/>
                </a:lnTo>
                <a:lnTo>
                  <a:pt x="208" y="52"/>
                </a:lnTo>
                <a:lnTo>
                  <a:pt x="216" y="64"/>
                </a:lnTo>
                <a:lnTo>
                  <a:pt x="220" y="77"/>
                </a:lnTo>
                <a:lnTo>
                  <a:pt x="217" y="90"/>
                </a:lnTo>
                <a:lnTo>
                  <a:pt x="211" y="101"/>
                </a:lnTo>
                <a:lnTo>
                  <a:pt x="199" y="109"/>
                </a:lnTo>
                <a:lnTo>
                  <a:pt x="198" y="109"/>
                </a:lnTo>
                <a:lnTo>
                  <a:pt x="199" y="110"/>
                </a:lnTo>
                <a:lnTo>
                  <a:pt x="211" y="117"/>
                </a:lnTo>
                <a:lnTo>
                  <a:pt x="219" y="127"/>
                </a:lnTo>
                <a:lnTo>
                  <a:pt x="222" y="141"/>
                </a:lnTo>
                <a:lnTo>
                  <a:pt x="220" y="154"/>
                </a:lnTo>
                <a:lnTo>
                  <a:pt x="213" y="166"/>
                </a:lnTo>
                <a:lnTo>
                  <a:pt x="202" y="172"/>
                </a:lnTo>
                <a:lnTo>
                  <a:pt x="189" y="176"/>
                </a:lnTo>
                <a:lnTo>
                  <a:pt x="176" y="173"/>
                </a:lnTo>
                <a:lnTo>
                  <a:pt x="175" y="172"/>
                </a:lnTo>
                <a:lnTo>
                  <a:pt x="175" y="175"/>
                </a:lnTo>
                <a:lnTo>
                  <a:pt x="175" y="175"/>
                </a:lnTo>
                <a:lnTo>
                  <a:pt x="177" y="178"/>
                </a:lnTo>
                <a:lnTo>
                  <a:pt x="49" y="178"/>
                </a:lnTo>
                <a:lnTo>
                  <a:pt x="49" y="178"/>
                </a:lnTo>
                <a:lnTo>
                  <a:pt x="50" y="177"/>
                </a:lnTo>
                <a:lnTo>
                  <a:pt x="49" y="178"/>
                </a:lnTo>
                <a:lnTo>
                  <a:pt x="46" y="178"/>
                </a:lnTo>
                <a:lnTo>
                  <a:pt x="24" y="178"/>
                </a:lnTo>
                <a:lnTo>
                  <a:pt x="24" y="178"/>
                </a:lnTo>
                <a:lnTo>
                  <a:pt x="12" y="171"/>
                </a:lnTo>
                <a:lnTo>
                  <a:pt x="5" y="161"/>
                </a:lnTo>
                <a:lnTo>
                  <a:pt x="1" y="147"/>
                </a:lnTo>
                <a:lnTo>
                  <a:pt x="3" y="135"/>
                </a:lnTo>
                <a:lnTo>
                  <a:pt x="3" y="135"/>
                </a:lnTo>
                <a:lnTo>
                  <a:pt x="10" y="124"/>
                </a:lnTo>
                <a:lnTo>
                  <a:pt x="21" y="116"/>
                </a:lnTo>
                <a:lnTo>
                  <a:pt x="21" y="116"/>
                </a:lnTo>
                <a:lnTo>
                  <a:pt x="22" y="115"/>
                </a:lnTo>
                <a:lnTo>
                  <a:pt x="21" y="115"/>
                </a:lnTo>
                <a:lnTo>
                  <a:pt x="10" y="108"/>
                </a:lnTo>
                <a:lnTo>
                  <a:pt x="3" y="99"/>
                </a:lnTo>
                <a:lnTo>
                  <a:pt x="0" y="87"/>
                </a:lnTo>
                <a:lnTo>
                  <a:pt x="0" y="75"/>
                </a:lnTo>
                <a:lnTo>
                  <a:pt x="7" y="79"/>
                </a:lnTo>
                <a:lnTo>
                  <a:pt x="26" y="90"/>
                </a:lnTo>
                <a:lnTo>
                  <a:pt x="48" y="96"/>
                </a:lnTo>
                <a:lnTo>
                  <a:pt x="74" y="99"/>
                </a:lnTo>
                <a:lnTo>
                  <a:pt x="65" y="78"/>
                </a:lnTo>
                <a:lnTo>
                  <a:pt x="53" y="62"/>
                </a:lnTo>
                <a:lnTo>
                  <a:pt x="40" y="49"/>
                </a:lnTo>
                <a:lnTo>
                  <a:pt x="45" y="50"/>
                </a:lnTo>
                <a:lnTo>
                  <a:pt x="46" y="51"/>
                </a:lnTo>
                <a:lnTo>
                  <a:pt x="46" y="50"/>
                </a:lnTo>
                <a:lnTo>
                  <a:pt x="43" y="36"/>
                </a:lnTo>
                <a:lnTo>
                  <a:pt x="45" y="24"/>
                </a:lnTo>
                <a:lnTo>
                  <a:pt x="45" y="24"/>
                </a:lnTo>
                <a:lnTo>
                  <a:pt x="52" y="13"/>
                </a:lnTo>
                <a:lnTo>
                  <a:pt x="63" y="5"/>
                </a:lnTo>
                <a:lnTo>
                  <a:pt x="75" y="1"/>
                </a:lnTo>
                <a:lnTo>
                  <a:pt x="89" y="3"/>
                </a:lnTo>
                <a:lnTo>
                  <a:pt x="100" y="10"/>
                </a:lnTo>
                <a:lnTo>
                  <a:pt x="108" y="22"/>
                </a:lnTo>
                <a:lnTo>
                  <a:pt x="108" y="22"/>
                </a:lnTo>
                <a:lnTo>
                  <a:pt x="108" y="23"/>
                </a:lnTo>
                <a:lnTo>
                  <a:pt x="109" y="22"/>
                </a:lnTo>
                <a:lnTo>
                  <a:pt x="115" y="10"/>
                </a:lnTo>
                <a:lnTo>
                  <a:pt x="126" y="2"/>
                </a:lnTo>
                <a:lnTo>
                  <a:pt x="139" y="0"/>
                </a:lnTo>
                <a:close/>
              </a:path>
            </a:pathLst>
          </a:custGeom>
          <a:solidFill>
            <a:schemeClr val="accent4"/>
          </a:solidFill>
          <a:ln w="0">
            <a:solidFill>
              <a:schemeClr val="accent4"/>
            </a:solidFill>
            <a:prstDash val="solid"/>
            <a:round/>
            <a:headEnd/>
            <a:tailEnd/>
          </a:ln>
        </xdr:spPr>
      </xdr:sp>
      <xdr:sp macro="" textlink="">
        <xdr:nvSpPr>
          <xdr:cNvPr id="140" name="Freeform 192"/>
          <xdr:cNvSpPr>
            <a:spLocks/>
          </xdr:cNvSpPr>
        </xdr:nvSpPr>
        <xdr:spPr bwMode="auto">
          <a:xfrm>
            <a:off x="893" y="803"/>
            <a:ext cx="19" cy="12"/>
          </a:xfrm>
          <a:custGeom>
            <a:avLst/>
            <a:gdLst>
              <a:gd name="T0" fmla="*/ 28 w 74"/>
              <a:gd name="T1" fmla="*/ 0 h 50"/>
              <a:gd name="T2" fmla="*/ 40 w 74"/>
              <a:gd name="T3" fmla="*/ 0 h 50"/>
              <a:gd name="T4" fmla="*/ 53 w 74"/>
              <a:gd name="T5" fmla="*/ 13 h 50"/>
              <a:gd name="T6" fmla="*/ 65 w 74"/>
              <a:gd name="T7" fmla="*/ 29 h 50"/>
              <a:gd name="T8" fmla="*/ 74 w 74"/>
              <a:gd name="T9" fmla="*/ 50 h 50"/>
              <a:gd name="T10" fmla="*/ 48 w 74"/>
              <a:gd name="T11" fmla="*/ 47 h 50"/>
              <a:gd name="T12" fmla="*/ 26 w 74"/>
              <a:gd name="T13" fmla="*/ 41 h 50"/>
              <a:gd name="T14" fmla="*/ 7 w 74"/>
              <a:gd name="T15" fmla="*/ 30 h 50"/>
              <a:gd name="T16" fmla="*/ 0 w 74"/>
              <a:gd name="T17" fmla="*/ 26 h 50"/>
              <a:gd name="T18" fmla="*/ 1 w 74"/>
              <a:gd name="T19" fmla="*/ 21 h 50"/>
              <a:gd name="T20" fmla="*/ 8 w 74"/>
              <a:gd name="T21" fmla="*/ 11 h 50"/>
              <a:gd name="T22" fmla="*/ 17 w 74"/>
              <a:gd name="T23" fmla="*/ 3 h 50"/>
              <a:gd name="T24" fmla="*/ 28 w 74"/>
              <a:gd name="T25"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74" h="50">
                <a:moveTo>
                  <a:pt x="28" y="0"/>
                </a:moveTo>
                <a:lnTo>
                  <a:pt x="40" y="0"/>
                </a:lnTo>
                <a:lnTo>
                  <a:pt x="53" y="13"/>
                </a:lnTo>
                <a:lnTo>
                  <a:pt x="65" y="29"/>
                </a:lnTo>
                <a:lnTo>
                  <a:pt x="74" y="50"/>
                </a:lnTo>
                <a:lnTo>
                  <a:pt x="48" y="47"/>
                </a:lnTo>
                <a:lnTo>
                  <a:pt x="26" y="41"/>
                </a:lnTo>
                <a:lnTo>
                  <a:pt x="7" y="30"/>
                </a:lnTo>
                <a:lnTo>
                  <a:pt x="0" y="26"/>
                </a:lnTo>
                <a:lnTo>
                  <a:pt x="1" y="21"/>
                </a:lnTo>
                <a:lnTo>
                  <a:pt x="8" y="11"/>
                </a:lnTo>
                <a:lnTo>
                  <a:pt x="17" y="3"/>
                </a:lnTo>
                <a:lnTo>
                  <a:pt x="28" y="0"/>
                </a:lnTo>
                <a:close/>
              </a:path>
            </a:pathLst>
          </a:custGeom>
          <a:solidFill>
            <a:schemeClr val="accent4">
              <a:lumMod val="75000"/>
            </a:schemeClr>
          </a:solidFill>
          <a:ln w="0">
            <a:solidFill>
              <a:schemeClr val="accent4">
                <a:lumMod val="75000"/>
              </a:schemeClr>
            </a:solidFill>
            <a:prstDash val="solid"/>
            <a:round/>
            <a:headEnd/>
            <a:tailEnd/>
          </a:ln>
        </xdr:spPr>
      </xdr:sp>
      <xdr:sp macro="" textlink="">
        <xdr:nvSpPr>
          <xdr:cNvPr id="141" name="Freeform 193"/>
          <xdr:cNvSpPr>
            <a:spLocks noEditPoints="1"/>
          </xdr:cNvSpPr>
        </xdr:nvSpPr>
        <xdr:spPr bwMode="auto">
          <a:xfrm>
            <a:off x="659" y="785"/>
            <a:ext cx="80" cy="50"/>
          </a:xfrm>
          <a:custGeom>
            <a:avLst/>
            <a:gdLst>
              <a:gd name="T0" fmla="*/ 152 w 320"/>
              <a:gd name="T1" fmla="*/ 106 h 201"/>
              <a:gd name="T2" fmla="*/ 137 w 320"/>
              <a:gd name="T3" fmla="*/ 121 h 201"/>
              <a:gd name="T4" fmla="*/ 137 w 320"/>
              <a:gd name="T5" fmla="*/ 141 h 201"/>
              <a:gd name="T6" fmla="*/ 152 w 320"/>
              <a:gd name="T7" fmla="*/ 156 h 201"/>
              <a:gd name="T8" fmla="*/ 173 w 320"/>
              <a:gd name="T9" fmla="*/ 156 h 201"/>
              <a:gd name="T10" fmla="*/ 187 w 320"/>
              <a:gd name="T11" fmla="*/ 141 h 201"/>
              <a:gd name="T12" fmla="*/ 187 w 320"/>
              <a:gd name="T13" fmla="*/ 121 h 201"/>
              <a:gd name="T14" fmla="*/ 173 w 320"/>
              <a:gd name="T15" fmla="*/ 106 h 201"/>
              <a:gd name="T16" fmla="*/ 69 w 320"/>
              <a:gd name="T17" fmla="*/ 0 h 201"/>
              <a:gd name="T18" fmla="*/ 90 w 320"/>
              <a:gd name="T19" fmla="*/ 16 h 201"/>
              <a:gd name="T20" fmla="*/ 125 w 320"/>
              <a:gd name="T21" fmla="*/ 59 h 201"/>
              <a:gd name="T22" fmla="*/ 133 w 320"/>
              <a:gd name="T23" fmla="*/ 56 h 201"/>
              <a:gd name="T24" fmla="*/ 124 w 320"/>
              <a:gd name="T25" fmla="*/ 0 h 201"/>
              <a:gd name="T26" fmla="*/ 147 w 320"/>
              <a:gd name="T27" fmla="*/ 24 h 201"/>
              <a:gd name="T28" fmla="*/ 161 w 320"/>
              <a:gd name="T29" fmla="*/ 83 h 201"/>
              <a:gd name="T30" fmla="*/ 170 w 320"/>
              <a:gd name="T31" fmla="*/ 24 h 201"/>
              <a:gd name="T32" fmla="*/ 191 w 320"/>
              <a:gd name="T33" fmla="*/ 0 h 201"/>
              <a:gd name="T34" fmla="*/ 187 w 320"/>
              <a:gd name="T35" fmla="*/ 54 h 201"/>
              <a:gd name="T36" fmla="*/ 195 w 320"/>
              <a:gd name="T37" fmla="*/ 57 h 201"/>
              <a:gd name="T38" fmla="*/ 236 w 320"/>
              <a:gd name="T39" fmla="*/ 0 h 201"/>
              <a:gd name="T40" fmla="*/ 237 w 320"/>
              <a:gd name="T41" fmla="*/ 22 h 201"/>
              <a:gd name="T42" fmla="*/ 214 w 320"/>
              <a:gd name="T43" fmla="*/ 68 h 201"/>
              <a:gd name="T44" fmla="*/ 220 w 320"/>
              <a:gd name="T45" fmla="*/ 75 h 201"/>
              <a:gd name="T46" fmla="*/ 274 w 320"/>
              <a:gd name="T47" fmla="*/ 43 h 201"/>
              <a:gd name="T48" fmla="*/ 281 w 320"/>
              <a:gd name="T49" fmla="*/ 54 h 201"/>
              <a:gd name="T50" fmla="*/ 234 w 320"/>
              <a:gd name="T51" fmla="*/ 93 h 201"/>
              <a:gd name="T52" fmla="*/ 237 w 320"/>
              <a:gd name="T53" fmla="*/ 101 h 201"/>
              <a:gd name="T54" fmla="*/ 279 w 320"/>
              <a:gd name="T55" fmla="*/ 93 h 201"/>
              <a:gd name="T56" fmla="*/ 279 w 320"/>
              <a:gd name="T57" fmla="*/ 107 h 201"/>
              <a:gd name="T58" fmla="*/ 243 w 320"/>
              <a:gd name="T59" fmla="*/ 123 h 201"/>
              <a:gd name="T60" fmla="*/ 243 w 320"/>
              <a:gd name="T61" fmla="*/ 133 h 201"/>
              <a:gd name="T62" fmla="*/ 299 w 320"/>
              <a:gd name="T63" fmla="*/ 148 h 201"/>
              <a:gd name="T64" fmla="*/ 320 w 320"/>
              <a:gd name="T65" fmla="*/ 159 h 201"/>
              <a:gd name="T66" fmla="*/ 268 w 320"/>
              <a:gd name="T67" fmla="*/ 159 h 201"/>
              <a:gd name="T68" fmla="*/ 211 w 320"/>
              <a:gd name="T69" fmla="*/ 150 h 201"/>
              <a:gd name="T70" fmla="*/ 264 w 320"/>
              <a:gd name="T71" fmla="*/ 182 h 201"/>
              <a:gd name="T72" fmla="*/ 261 w 320"/>
              <a:gd name="T73" fmla="*/ 201 h 201"/>
              <a:gd name="T74" fmla="*/ 197 w 320"/>
              <a:gd name="T75" fmla="*/ 164 h 201"/>
              <a:gd name="T76" fmla="*/ 225 w 320"/>
              <a:gd name="T77" fmla="*/ 201 h 201"/>
              <a:gd name="T78" fmla="*/ 184 w 320"/>
              <a:gd name="T79" fmla="*/ 179 h 201"/>
              <a:gd name="T80" fmla="*/ 169 w 320"/>
              <a:gd name="T81" fmla="*/ 201 h 201"/>
              <a:gd name="T82" fmla="*/ 162 w 320"/>
              <a:gd name="T83" fmla="*/ 201 h 201"/>
              <a:gd name="T84" fmla="*/ 144 w 320"/>
              <a:gd name="T85" fmla="*/ 181 h 201"/>
              <a:gd name="T86" fmla="*/ 107 w 320"/>
              <a:gd name="T87" fmla="*/ 201 h 201"/>
              <a:gd name="T88" fmla="*/ 131 w 320"/>
              <a:gd name="T89" fmla="*/ 166 h 201"/>
              <a:gd name="T90" fmla="*/ 81 w 320"/>
              <a:gd name="T91" fmla="*/ 201 h 201"/>
              <a:gd name="T92" fmla="*/ 70 w 320"/>
              <a:gd name="T93" fmla="*/ 185 h 201"/>
              <a:gd name="T94" fmla="*/ 115 w 320"/>
              <a:gd name="T95" fmla="*/ 153 h 201"/>
              <a:gd name="T96" fmla="*/ 57 w 320"/>
              <a:gd name="T97" fmla="*/ 167 h 201"/>
              <a:gd name="T98" fmla="*/ 2 w 320"/>
              <a:gd name="T99" fmla="*/ 170 h 201"/>
              <a:gd name="T100" fmla="*/ 51 w 320"/>
              <a:gd name="T101" fmla="*/ 148 h 201"/>
              <a:gd name="T102" fmla="*/ 115 w 320"/>
              <a:gd name="T103" fmla="*/ 133 h 201"/>
              <a:gd name="T104" fmla="*/ 51 w 320"/>
              <a:gd name="T105" fmla="*/ 122 h 201"/>
              <a:gd name="T106" fmla="*/ 0 w 320"/>
              <a:gd name="T107" fmla="*/ 104 h 201"/>
              <a:gd name="T108" fmla="*/ 54 w 320"/>
              <a:gd name="T109" fmla="*/ 102 h 201"/>
              <a:gd name="T110" fmla="*/ 113 w 320"/>
              <a:gd name="T111" fmla="*/ 113 h 201"/>
              <a:gd name="T112" fmla="*/ 62 w 320"/>
              <a:gd name="T113" fmla="*/ 81 h 201"/>
              <a:gd name="T114" fmla="*/ 21 w 320"/>
              <a:gd name="T115" fmla="*/ 43 h 201"/>
              <a:gd name="T116" fmla="*/ 72 w 320"/>
              <a:gd name="T117" fmla="*/ 64 h 201"/>
              <a:gd name="T118" fmla="*/ 128 w 320"/>
              <a:gd name="T119" fmla="*/ 98 h 201"/>
              <a:gd name="T120" fmla="*/ 91 w 320"/>
              <a:gd name="T121" fmla="*/ 47 h 201"/>
              <a:gd name="T122" fmla="*/ 69 w 320"/>
              <a:gd name="T123" fmla="*/ 0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320" h="201">
                <a:moveTo>
                  <a:pt x="162" y="104"/>
                </a:moveTo>
                <a:lnTo>
                  <a:pt x="152" y="106"/>
                </a:lnTo>
                <a:lnTo>
                  <a:pt x="144" y="111"/>
                </a:lnTo>
                <a:lnTo>
                  <a:pt x="137" y="121"/>
                </a:lnTo>
                <a:lnTo>
                  <a:pt x="136" y="131"/>
                </a:lnTo>
                <a:lnTo>
                  <a:pt x="137" y="141"/>
                </a:lnTo>
                <a:lnTo>
                  <a:pt x="144" y="150"/>
                </a:lnTo>
                <a:lnTo>
                  <a:pt x="152" y="156"/>
                </a:lnTo>
                <a:lnTo>
                  <a:pt x="162" y="158"/>
                </a:lnTo>
                <a:lnTo>
                  <a:pt x="173" y="156"/>
                </a:lnTo>
                <a:lnTo>
                  <a:pt x="181" y="150"/>
                </a:lnTo>
                <a:lnTo>
                  <a:pt x="187" y="141"/>
                </a:lnTo>
                <a:lnTo>
                  <a:pt x="189" y="131"/>
                </a:lnTo>
                <a:lnTo>
                  <a:pt x="187" y="121"/>
                </a:lnTo>
                <a:lnTo>
                  <a:pt x="181" y="111"/>
                </a:lnTo>
                <a:lnTo>
                  <a:pt x="173" y="106"/>
                </a:lnTo>
                <a:lnTo>
                  <a:pt x="162" y="104"/>
                </a:lnTo>
                <a:close/>
                <a:moveTo>
                  <a:pt x="69" y="0"/>
                </a:moveTo>
                <a:lnTo>
                  <a:pt x="74" y="0"/>
                </a:lnTo>
                <a:lnTo>
                  <a:pt x="90" y="16"/>
                </a:lnTo>
                <a:lnTo>
                  <a:pt x="108" y="37"/>
                </a:lnTo>
                <a:lnTo>
                  <a:pt x="125" y="59"/>
                </a:lnTo>
                <a:lnTo>
                  <a:pt x="141" y="82"/>
                </a:lnTo>
                <a:lnTo>
                  <a:pt x="133" y="56"/>
                </a:lnTo>
                <a:lnTo>
                  <a:pt x="127" y="26"/>
                </a:lnTo>
                <a:lnTo>
                  <a:pt x="124" y="0"/>
                </a:lnTo>
                <a:lnTo>
                  <a:pt x="138" y="0"/>
                </a:lnTo>
                <a:lnTo>
                  <a:pt x="147" y="24"/>
                </a:lnTo>
                <a:lnTo>
                  <a:pt x="154" y="50"/>
                </a:lnTo>
                <a:lnTo>
                  <a:pt x="161" y="83"/>
                </a:lnTo>
                <a:lnTo>
                  <a:pt x="165" y="50"/>
                </a:lnTo>
                <a:lnTo>
                  <a:pt x="170" y="24"/>
                </a:lnTo>
                <a:lnTo>
                  <a:pt x="177" y="0"/>
                </a:lnTo>
                <a:lnTo>
                  <a:pt x="191" y="0"/>
                </a:lnTo>
                <a:lnTo>
                  <a:pt x="190" y="25"/>
                </a:lnTo>
                <a:lnTo>
                  <a:pt x="187" y="54"/>
                </a:lnTo>
                <a:lnTo>
                  <a:pt x="181" y="81"/>
                </a:lnTo>
                <a:lnTo>
                  <a:pt x="195" y="57"/>
                </a:lnTo>
                <a:lnTo>
                  <a:pt x="215" y="25"/>
                </a:lnTo>
                <a:lnTo>
                  <a:pt x="236" y="0"/>
                </a:lnTo>
                <a:lnTo>
                  <a:pt x="245" y="0"/>
                </a:lnTo>
                <a:lnTo>
                  <a:pt x="237" y="22"/>
                </a:lnTo>
                <a:lnTo>
                  <a:pt x="226" y="45"/>
                </a:lnTo>
                <a:lnTo>
                  <a:pt x="214" y="68"/>
                </a:lnTo>
                <a:lnTo>
                  <a:pt x="195" y="96"/>
                </a:lnTo>
                <a:lnTo>
                  <a:pt x="220" y="75"/>
                </a:lnTo>
                <a:lnTo>
                  <a:pt x="248" y="57"/>
                </a:lnTo>
                <a:lnTo>
                  <a:pt x="274" y="43"/>
                </a:lnTo>
                <a:lnTo>
                  <a:pt x="298" y="34"/>
                </a:lnTo>
                <a:lnTo>
                  <a:pt x="281" y="54"/>
                </a:lnTo>
                <a:lnTo>
                  <a:pt x="259" y="73"/>
                </a:lnTo>
                <a:lnTo>
                  <a:pt x="234" y="93"/>
                </a:lnTo>
                <a:lnTo>
                  <a:pt x="210" y="109"/>
                </a:lnTo>
                <a:lnTo>
                  <a:pt x="237" y="101"/>
                </a:lnTo>
                <a:lnTo>
                  <a:pt x="258" y="97"/>
                </a:lnTo>
                <a:lnTo>
                  <a:pt x="279" y="93"/>
                </a:lnTo>
                <a:lnTo>
                  <a:pt x="277" y="101"/>
                </a:lnTo>
                <a:lnTo>
                  <a:pt x="279" y="107"/>
                </a:lnTo>
                <a:lnTo>
                  <a:pt x="279" y="111"/>
                </a:lnTo>
                <a:lnTo>
                  <a:pt x="243" y="123"/>
                </a:lnTo>
                <a:lnTo>
                  <a:pt x="209" y="130"/>
                </a:lnTo>
                <a:lnTo>
                  <a:pt x="243" y="133"/>
                </a:lnTo>
                <a:lnTo>
                  <a:pt x="272" y="140"/>
                </a:lnTo>
                <a:lnTo>
                  <a:pt x="299" y="148"/>
                </a:lnTo>
                <a:lnTo>
                  <a:pt x="309" y="155"/>
                </a:lnTo>
                <a:lnTo>
                  <a:pt x="320" y="159"/>
                </a:lnTo>
                <a:lnTo>
                  <a:pt x="295" y="160"/>
                </a:lnTo>
                <a:lnTo>
                  <a:pt x="268" y="159"/>
                </a:lnTo>
                <a:lnTo>
                  <a:pt x="239" y="156"/>
                </a:lnTo>
                <a:lnTo>
                  <a:pt x="211" y="150"/>
                </a:lnTo>
                <a:lnTo>
                  <a:pt x="236" y="164"/>
                </a:lnTo>
                <a:lnTo>
                  <a:pt x="264" y="182"/>
                </a:lnTo>
                <a:lnTo>
                  <a:pt x="287" y="201"/>
                </a:lnTo>
                <a:lnTo>
                  <a:pt x="261" y="201"/>
                </a:lnTo>
                <a:lnTo>
                  <a:pt x="225" y="182"/>
                </a:lnTo>
                <a:lnTo>
                  <a:pt x="197" y="164"/>
                </a:lnTo>
                <a:lnTo>
                  <a:pt x="217" y="190"/>
                </a:lnTo>
                <a:lnTo>
                  <a:pt x="225" y="201"/>
                </a:lnTo>
                <a:lnTo>
                  <a:pt x="199" y="201"/>
                </a:lnTo>
                <a:lnTo>
                  <a:pt x="184" y="179"/>
                </a:lnTo>
                <a:lnTo>
                  <a:pt x="190" y="201"/>
                </a:lnTo>
                <a:lnTo>
                  <a:pt x="169" y="201"/>
                </a:lnTo>
                <a:lnTo>
                  <a:pt x="164" y="178"/>
                </a:lnTo>
                <a:lnTo>
                  <a:pt x="162" y="201"/>
                </a:lnTo>
                <a:lnTo>
                  <a:pt x="140" y="201"/>
                </a:lnTo>
                <a:lnTo>
                  <a:pt x="144" y="181"/>
                </a:lnTo>
                <a:lnTo>
                  <a:pt x="133" y="201"/>
                </a:lnTo>
                <a:lnTo>
                  <a:pt x="107" y="201"/>
                </a:lnTo>
                <a:lnTo>
                  <a:pt x="112" y="194"/>
                </a:lnTo>
                <a:lnTo>
                  <a:pt x="131" y="166"/>
                </a:lnTo>
                <a:lnTo>
                  <a:pt x="104" y="186"/>
                </a:lnTo>
                <a:lnTo>
                  <a:pt x="81" y="201"/>
                </a:lnTo>
                <a:lnTo>
                  <a:pt x="51" y="201"/>
                </a:lnTo>
                <a:lnTo>
                  <a:pt x="70" y="185"/>
                </a:lnTo>
                <a:lnTo>
                  <a:pt x="91" y="168"/>
                </a:lnTo>
                <a:lnTo>
                  <a:pt x="115" y="153"/>
                </a:lnTo>
                <a:lnTo>
                  <a:pt x="88" y="160"/>
                </a:lnTo>
                <a:lnTo>
                  <a:pt x="57" y="167"/>
                </a:lnTo>
                <a:lnTo>
                  <a:pt x="28" y="170"/>
                </a:lnTo>
                <a:lnTo>
                  <a:pt x="2" y="170"/>
                </a:lnTo>
                <a:lnTo>
                  <a:pt x="24" y="159"/>
                </a:lnTo>
                <a:lnTo>
                  <a:pt x="51" y="148"/>
                </a:lnTo>
                <a:lnTo>
                  <a:pt x="82" y="139"/>
                </a:lnTo>
                <a:lnTo>
                  <a:pt x="115" y="133"/>
                </a:lnTo>
                <a:lnTo>
                  <a:pt x="82" y="128"/>
                </a:lnTo>
                <a:lnTo>
                  <a:pt x="51" y="122"/>
                </a:lnTo>
                <a:lnTo>
                  <a:pt x="23" y="113"/>
                </a:lnTo>
                <a:lnTo>
                  <a:pt x="0" y="104"/>
                </a:lnTo>
                <a:lnTo>
                  <a:pt x="24" y="101"/>
                </a:lnTo>
                <a:lnTo>
                  <a:pt x="54" y="102"/>
                </a:lnTo>
                <a:lnTo>
                  <a:pt x="86" y="107"/>
                </a:lnTo>
                <a:lnTo>
                  <a:pt x="113" y="113"/>
                </a:lnTo>
                <a:lnTo>
                  <a:pt x="89" y="98"/>
                </a:lnTo>
                <a:lnTo>
                  <a:pt x="62" y="81"/>
                </a:lnTo>
                <a:lnTo>
                  <a:pt x="39" y="62"/>
                </a:lnTo>
                <a:lnTo>
                  <a:pt x="21" y="43"/>
                </a:lnTo>
                <a:lnTo>
                  <a:pt x="46" y="51"/>
                </a:lnTo>
                <a:lnTo>
                  <a:pt x="72" y="64"/>
                </a:lnTo>
                <a:lnTo>
                  <a:pt x="100" y="80"/>
                </a:lnTo>
                <a:lnTo>
                  <a:pt x="128" y="98"/>
                </a:lnTo>
                <a:lnTo>
                  <a:pt x="107" y="72"/>
                </a:lnTo>
                <a:lnTo>
                  <a:pt x="91" y="47"/>
                </a:lnTo>
                <a:lnTo>
                  <a:pt x="78" y="23"/>
                </a:lnTo>
                <a:lnTo>
                  <a:pt x="69" y="0"/>
                </a:lnTo>
                <a:close/>
              </a:path>
            </a:pathLst>
          </a:custGeom>
          <a:solidFill>
            <a:schemeClr val="accent2"/>
          </a:solidFill>
          <a:ln w="0">
            <a:solidFill>
              <a:schemeClr val="accent2"/>
            </a:solidFill>
            <a:prstDash val="solid"/>
            <a:round/>
            <a:headEnd/>
            <a:tailEnd/>
          </a:ln>
        </xdr:spPr>
      </xdr:sp>
      <xdr:sp macro="" textlink="">
        <xdr:nvSpPr>
          <xdr:cNvPr id="142" name="Freeform 194"/>
          <xdr:cNvSpPr>
            <a:spLocks/>
          </xdr:cNvSpPr>
        </xdr:nvSpPr>
        <xdr:spPr bwMode="auto">
          <a:xfrm>
            <a:off x="734" y="822"/>
            <a:ext cx="7" cy="3"/>
          </a:xfrm>
          <a:custGeom>
            <a:avLst/>
            <a:gdLst>
              <a:gd name="T0" fmla="*/ 0 w 27"/>
              <a:gd name="T1" fmla="*/ 0 h 11"/>
              <a:gd name="T2" fmla="*/ 27 w 27"/>
              <a:gd name="T3" fmla="*/ 11 h 11"/>
              <a:gd name="T4" fmla="*/ 21 w 27"/>
              <a:gd name="T5" fmla="*/ 11 h 11"/>
              <a:gd name="T6" fmla="*/ 10 w 27"/>
              <a:gd name="T7" fmla="*/ 7 h 11"/>
              <a:gd name="T8" fmla="*/ 0 w 27"/>
              <a:gd name="T9" fmla="*/ 0 h 11"/>
            </a:gdLst>
            <a:ahLst/>
            <a:cxnLst>
              <a:cxn ang="0">
                <a:pos x="T0" y="T1"/>
              </a:cxn>
              <a:cxn ang="0">
                <a:pos x="T2" y="T3"/>
              </a:cxn>
              <a:cxn ang="0">
                <a:pos x="T4" y="T5"/>
              </a:cxn>
              <a:cxn ang="0">
                <a:pos x="T6" y="T7"/>
              </a:cxn>
              <a:cxn ang="0">
                <a:pos x="T8" y="T9"/>
              </a:cxn>
            </a:cxnLst>
            <a:rect l="0" t="0" r="r" b="b"/>
            <a:pathLst>
              <a:path w="27" h="11">
                <a:moveTo>
                  <a:pt x="0" y="0"/>
                </a:moveTo>
                <a:lnTo>
                  <a:pt x="27" y="11"/>
                </a:lnTo>
                <a:lnTo>
                  <a:pt x="21" y="11"/>
                </a:lnTo>
                <a:lnTo>
                  <a:pt x="10" y="7"/>
                </a:lnTo>
                <a:lnTo>
                  <a:pt x="0" y="0"/>
                </a:lnTo>
                <a:close/>
              </a:path>
            </a:pathLst>
          </a:custGeom>
          <a:solidFill>
            <a:srgbClr val="FF8025"/>
          </a:solidFill>
          <a:ln w="0">
            <a:noFill/>
            <a:prstDash val="solid"/>
            <a:round/>
            <a:headEnd/>
            <a:tailEnd/>
          </a:ln>
        </xdr:spPr>
      </xdr:sp>
      <xdr:sp macro="" textlink="">
        <xdr:nvSpPr>
          <xdr:cNvPr id="143" name="Freeform 195"/>
          <xdr:cNvSpPr>
            <a:spLocks/>
          </xdr:cNvSpPr>
        </xdr:nvSpPr>
        <xdr:spPr bwMode="auto">
          <a:xfrm>
            <a:off x="729" y="808"/>
            <a:ext cx="11" cy="5"/>
          </a:xfrm>
          <a:custGeom>
            <a:avLst/>
            <a:gdLst>
              <a:gd name="T0" fmla="*/ 25 w 46"/>
              <a:gd name="T1" fmla="*/ 0 h 20"/>
              <a:gd name="T2" fmla="*/ 46 w 46"/>
              <a:gd name="T3" fmla="*/ 0 h 20"/>
              <a:gd name="T4" fmla="*/ 26 w 46"/>
              <a:gd name="T5" fmla="*/ 11 h 20"/>
              <a:gd name="T6" fmla="*/ 2 w 46"/>
              <a:gd name="T7" fmla="*/ 20 h 20"/>
              <a:gd name="T8" fmla="*/ 2 w 46"/>
              <a:gd name="T9" fmla="*/ 16 h 20"/>
              <a:gd name="T10" fmla="*/ 0 w 46"/>
              <a:gd name="T11" fmla="*/ 10 h 20"/>
              <a:gd name="T12" fmla="*/ 2 w 46"/>
              <a:gd name="T13" fmla="*/ 2 h 20"/>
              <a:gd name="T14" fmla="*/ 25 w 46"/>
              <a:gd name="T15" fmla="*/ 0 h 20"/>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46" h="20">
                <a:moveTo>
                  <a:pt x="25" y="0"/>
                </a:moveTo>
                <a:lnTo>
                  <a:pt x="46" y="0"/>
                </a:lnTo>
                <a:lnTo>
                  <a:pt x="26" y="11"/>
                </a:lnTo>
                <a:lnTo>
                  <a:pt x="2" y="20"/>
                </a:lnTo>
                <a:lnTo>
                  <a:pt x="2" y="16"/>
                </a:lnTo>
                <a:lnTo>
                  <a:pt x="0" y="10"/>
                </a:lnTo>
                <a:lnTo>
                  <a:pt x="2" y="2"/>
                </a:lnTo>
                <a:lnTo>
                  <a:pt x="25" y="0"/>
                </a:lnTo>
                <a:close/>
              </a:path>
            </a:pathLst>
          </a:custGeom>
          <a:solidFill>
            <a:schemeClr val="accent2">
              <a:lumMod val="75000"/>
            </a:schemeClr>
          </a:solidFill>
          <a:ln w="0">
            <a:solidFill>
              <a:schemeClr val="accent2">
                <a:lumMod val="75000"/>
              </a:schemeClr>
            </a:solidFill>
            <a:prstDash val="solid"/>
            <a:round/>
            <a:headEnd/>
            <a:tailEnd/>
          </a:ln>
        </xdr:spPr>
      </xdr:sp>
      <xdr:sp macro="" textlink="">
        <xdr:nvSpPr>
          <xdr:cNvPr id="144" name="Freeform 159"/>
          <xdr:cNvSpPr>
            <a:spLocks/>
          </xdr:cNvSpPr>
        </xdr:nvSpPr>
        <xdr:spPr bwMode="auto">
          <a:xfrm>
            <a:off x="595" y="804"/>
            <a:ext cx="22" cy="23"/>
          </a:xfrm>
          <a:custGeom>
            <a:avLst/>
            <a:gdLst>
              <a:gd name="T0" fmla="*/ 48 w 87"/>
              <a:gd name="T1" fmla="*/ 0 h 88"/>
              <a:gd name="T2" fmla="*/ 57 w 87"/>
              <a:gd name="T3" fmla="*/ 2 h 88"/>
              <a:gd name="T4" fmla="*/ 62 w 87"/>
              <a:gd name="T5" fmla="*/ 3 h 88"/>
              <a:gd name="T6" fmla="*/ 65 w 87"/>
              <a:gd name="T7" fmla="*/ 5 h 88"/>
              <a:gd name="T8" fmla="*/ 65 w 87"/>
              <a:gd name="T9" fmla="*/ 12 h 88"/>
              <a:gd name="T10" fmla="*/ 65 w 87"/>
              <a:gd name="T11" fmla="*/ 19 h 88"/>
              <a:gd name="T12" fmla="*/ 72 w 87"/>
              <a:gd name="T13" fmla="*/ 18 h 88"/>
              <a:gd name="T14" fmla="*/ 78 w 87"/>
              <a:gd name="T15" fmla="*/ 17 h 88"/>
              <a:gd name="T16" fmla="*/ 82 w 87"/>
              <a:gd name="T17" fmla="*/ 21 h 88"/>
              <a:gd name="T18" fmla="*/ 84 w 87"/>
              <a:gd name="T19" fmla="*/ 27 h 88"/>
              <a:gd name="T20" fmla="*/ 86 w 87"/>
              <a:gd name="T21" fmla="*/ 32 h 88"/>
              <a:gd name="T22" fmla="*/ 81 w 87"/>
              <a:gd name="T23" fmla="*/ 37 h 88"/>
              <a:gd name="T24" fmla="*/ 76 w 87"/>
              <a:gd name="T25" fmla="*/ 42 h 88"/>
              <a:gd name="T26" fmla="*/ 82 w 87"/>
              <a:gd name="T27" fmla="*/ 46 h 88"/>
              <a:gd name="T28" fmla="*/ 87 w 87"/>
              <a:gd name="T29" fmla="*/ 49 h 88"/>
              <a:gd name="T30" fmla="*/ 85 w 87"/>
              <a:gd name="T31" fmla="*/ 57 h 88"/>
              <a:gd name="T32" fmla="*/ 83 w 87"/>
              <a:gd name="T33" fmla="*/ 62 h 88"/>
              <a:gd name="T34" fmla="*/ 81 w 87"/>
              <a:gd name="T35" fmla="*/ 66 h 88"/>
              <a:gd name="T36" fmla="*/ 68 w 87"/>
              <a:gd name="T37" fmla="*/ 66 h 88"/>
              <a:gd name="T38" fmla="*/ 70 w 87"/>
              <a:gd name="T39" fmla="*/ 79 h 88"/>
              <a:gd name="T40" fmla="*/ 65 w 87"/>
              <a:gd name="T41" fmla="*/ 82 h 88"/>
              <a:gd name="T42" fmla="*/ 59 w 87"/>
              <a:gd name="T43" fmla="*/ 85 h 88"/>
              <a:gd name="T44" fmla="*/ 54 w 87"/>
              <a:gd name="T45" fmla="*/ 87 h 88"/>
              <a:gd name="T46" fmla="*/ 50 w 87"/>
              <a:gd name="T47" fmla="*/ 82 h 88"/>
              <a:gd name="T48" fmla="*/ 46 w 87"/>
              <a:gd name="T49" fmla="*/ 78 h 88"/>
              <a:gd name="T50" fmla="*/ 38 w 87"/>
              <a:gd name="T51" fmla="*/ 88 h 88"/>
              <a:gd name="T52" fmla="*/ 30 w 87"/>
              <a:gd name="T53" fmla="*/ 86 h 88"/>
              <a:gd name="T54" fmla="*/ 26 w 87"/>
              <a:gd name="T55" fmla="*/ 85 h 88"/>
              <a:gd name="T56" fmla="*/ 21 w 87"/>
              <a:gd name="T57" fmla="*/ 82 h 88"/>
              <a:gd name="T58" fmla="*/ 21 w 87"/>
              <a:gd name="T59" fmla="*/ 70 h 88"/>
              <a:gd name="T60" fmla="*/ 10 w 87"/>
              <a:gd name="T61" fmla="*/ 72 h 88"/>
              <a:gd name="T62" fmla="*/ 5 w 87"/>
              <a:gd name="T63" fmla="*/ 66 h 88"/>
              <a:gd name="T64" fmla="*/ 3 w 87"/>
              <a:gd name="T65" fmla="*/ 62 h 88"/>
              <a:gd name="T66" fmla="*/ 1 w 87"/>
              <a:gd name="T67" fmla="*/ 55 h 88"/>
              <a:gd name="T68" fmla="*/ 5 w 87"/>
              <a:gd name="T69" fmla="*/ 52 h 88"/>
              <a:gd name="T70" fmla="*/ 10 w 87"/>
              <a:gd name="T71" fmla="*/ 47 h 88"/>
              <a:gd name="T72" fmla="*/ 4 w 87"/>
              <a:gd name="T73" fmla="*/ 43 h 88"/>
              <a:gd name="T74" fmla="*/ 0 w 87"/>
              <a:gd name="T75" fmla="*/ 39 h 88"/>
              <a:gd name="T76" fmla="*/ 0 w 87"/>
              <a:gd name="T77" fmla="*/ 35 h 88"/>
              <a:gd name="T78" fmla="*/ 2 w 87"/>
              <a:gd name="T79" fmla="*/ 30 h 88"/>
              <a:gd name="T80" fmla="*/ 3 w 87"/>
              <a:gd name="T81" fmla="*/ 26 h 88"/>
              <a:gd name="T82" fmla="*/ 4 w 87"/>
              <a:gd name="T83" fmla="*/ 22 h 88"/>
              <a:gd name="T84" fmla="*/ 18 w 87"/>
              <a:gd name="T85" fmla="*/ 22 h 88"/>
              <a:gd name="T86" fmla="*/ 17 w 87"/>
              <a:gd name="T87" fmla="*/ 15 h 88"/>
              <a:gd name="T88" fmla="*/ 16 w 87"/>
              <a:gd name="T89" fmla="*/ 9 h 88"/>
              <a:gd name="T90" fmla="*/ 20 w 87"/>
              <a:gd name="T91" fmla="*/ 5 h 88"/>
              <a:gd name="T92" fmla="*/ 26 w 87"/>
              <a:gd name="T93" fmla="*/ 3 h 88"/>
              <a:gd name="T94" fmla="*/ 31 w 87"/>
              <a:gd name="T95" fmla="*/ 1 h 88"/>
              <a:gd name="T96" fmla="*/ 36 w 87"/>
              <a:gd name="T97" fmla="*/ 6 h 88"/>
              <a:gd name="T98" fmla="*/ 40 w 87"/>
              <a:gd name="T99" fmla="*/ 11 h 88"/>
              <a:gd name="T100" fmla="*/ 45 w 87"/>
              <a:gd name="T101" fmla="*/ 5 h 88"/>
              <a:gd name="T102" fmla="*/ 48 w 87"/>
              <a:gd name="T103"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87" h="88">
                <a:moveTo>
                  <a:pt x="48" y="0"/>
                </a:moveTo>
                <a:lnTo>
                  <a:pt x="57" y="2"/>
                </a:lnTo>
                <a:lnTo>
                  <a:pt x="62" y="3"/>
                </a:lnTo>
                <a:lnTo>
                  <a:pt x="65" y="5"/>
                </a:lnTo>
                <a:lnTo>
                  <a:pt x="65" y="12"/>
                </a:lnTo>
                <a:lnTo>
                  <a:pt x="65" y="19"/>
                </a:lnTo>
                <a:lnTo>
                  <a:pt x="72" y="18"/>
                </a:lnTo>
                <a:lnTo>
                  <a:pt x="78" y="17"/>
                </a:lnTo>
                <a:lnTo>
                  <a:pt x="82" y="21"/>
                </a:lnTo>
                <a:lnTo>
                  <a:pt x="84" y="27"/>
                </a:lnTo>
                <a:lnTo>
                  <a:pt x="86" y="32"/>
                </a:lnTo>
                <a:lnTo>
                  <a:pt x="81" y="37"/>
                </a:lnTo>
                <a:lnTo>
                  <a:pt x="76" y="42"/>
                </a:lnTo>
                <a:lnTo>
                  <a:pt x="82" y="46"/>
                </a:lnTo>
                <a:lnTo>
                  <a:pt x="87" y="49"/>
                </a:lnTo>
                <a:lnTo>
                  <a:pt x="85" y="57"/>
                </a:lnTo>
                <a:lnTo>
                  <a:pt x="83" y="62"/>
                </a:lnTo>
                <a:lnTo>
                  <a:pt x="81" y="66"/>
                </a:lnTo>
                <a:lnTo>
                  <a:pt x="68" y="66"/>
                </a:lnTo>
                <a:lnTo>
                  <a:pt x="70" y="79"/>
                </a:lnTo>
                <a:lnTo>
                  <a:pt x="65" y="82"/>
                </a:lnTo>
                <a:lnTo>
                  <a:pt x="59" y="85"/>
                </a:lnTo>
                <a:lnTo>
                  <a:pt x="54" y="87"/>
                </a:lnTo>
                <a:lnTo>
                  <a:pt x="50" y="82"/>
                </a:lnTo>
                <a:lnTo>
                  <a:pt x="46" y="78"/>
                </a:lnTo>
                <a:lnTo>
                  <a:pt x="38" y="88"/>
                </a:lnTo>
                <a:lnTo>
                  <a:pt x="30" y="86"/>
                </a:lnTo>
                <a:lnTo>
                  <a:pt x="26" y="85"/>
                </a:lnTo>
                <a:lnTo>
                  <a:pt x="21" y="82"/>
                </a:lnTo>
                <a:lnTo>
                  <a:pt x="21" y="70"/>
                </a:lnTo>
                <a:lnTo>
                  <a:pt x="10" y="72"/>
                </a:lnTo>
                <a:lnTo>
                  <a:pt x="5" y="66"/>
                </a:lnTo>
                <a:lnTo>
                  <a:pt x="3" y="62"/>
                </a:lnTo>
                <a:lnTo>
                  <a:pt x="1" y="55"/>
                </a:lnTo>
                <a:lnTo>
                  <a:pt x="5" y="52"/>
                </a:lnTo>
                <a:lnTo>
                  <a:pt x="10" y="47"/>
                </a:lnTo>
                <a:lnTo>
                  <a:pt x="4" y="43"/>
                </a:lnTo>
                <a:lnTo>
                  <a:pt x="0" y="39"/>
                </a:lnTo>
                <a:lnTo>
                  <a:pt x="0" y="35"/>
                </a:lnTo>
                <a:lnTo>
                  <a:pt x="2" y="30"/>
                </a:lnTo>
                <a:lnTo>
                  <a:pt x="3" y="26"/>
                </a:lnTo>
                <a:lnTo>
                  <a:pt x="4" y="22"/>
                </a:lnTo>
                <a:lnTo>
                  <a:pt x="18" y="22"/>
                </a:lnTo>
                <a:lnTo>
                  <a:pt x="17" y="15"/>
                </a:lnTo>
                <a:lnTo>
                  <a:pt x="16" y="9"/>
                </a:lnTo>
                <a:lnTo>
                  <a:pt x="20" y="5"/>
                </a:lnTo>
                <a:lnTo>
                  <a:pt x="26" y="3"/>
                </a:lnTo>
                <a:lnTo>
                  <a:pt x="31" y="1"/>
                </a:lnTo>
                <a:lnTo>
                  <a:pt x="36" y="6"/>
                </a:lnTo>
                <a:lnTo>
                  <a:pt x="40" y="11"/>
                </a:lnTo>
                <a:lnTo>
                  <a:pt x="45" y="5"/>
                </a:lnTo>
                <a:lnTo>
                  <a:pt x="48" y="0"/>
                </a:lnTo>
                <a:close/>
              </a:path>
            </a:pathLst>
          </a:custGeom>
          <a:solidFill>
            <a:schemeClr val="accent5"/>
          </a:solidFill>
          <a:ln w="0">
            <a:solidFill>
              <a:schemeClr val="accent5"/>
            </a:solidFill>
            <a:prstDash val="solid"/>
            <a:round/>
            <a:headEnd/>
            <a:tailEnd/>
          </a:ln>
        </xdr:spPr>
      </xdr:sp>
    </xdr:grpSp>
    <xdr:clientData/>
  </xdr:twoCellAnchor>
  <xdr:twoCellAnchor editAs="oneCell">
    <xdr:from>
      <xdr:col>29</xdr:col>
      <xdr:colOff>49697</xdr:colOff>
      <xdr:row>45</xdr:row>
      <xdr:rowOff>8282</xdr:rowOff>
    </xdr:from>
    <xdr:to>
      <xdr:col>32</xdr:col>
      <xdr:colOff>91109</xdr:colOff>
      <xdr:row>49</xdr:row>
      <xdr:rowOff>124237</xdr:rowOff>
    </xdr:to>
    <xdr:pic>
      <xdr:nvPicPr>
        <xdr:cNvPr id="2" name="Picture 1"/>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8406849" y="10079934"/>
          <a:ext cx="911086" cy="9110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28</xdr:col>
          <xdr:colOff>28575</xdr:colOff>
          <xdr:row>0</xdr:row>
          <xdr:rowOff>123825</xdr:rowOff>
        </xdr:from>
        <xdr:to>
          <xdr:col>30</xdr:col>
          <xdr:colOff>161925</xdr:colOff>
          <xdr:row>1</xdr:row>
          <xdr:rowOff>19050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149086</xdr:colOff>
      <xdr:row>42</xdr:row>
      <xdr:rowOff>22923</xdr:rowOff>
    </xdr:from>
    <xdr:to>
      <xdr:col>6</xdr:col>
      <xdr:colOff>414129</xdr:colOff>
      <xdr:row>55</xdr:row>
      <xdr:rowOff>133835</xdr:rowOff>
    </xdr:to>
    <xdr:pic>
      <xdr:nvPicPr>
        <xdr:cNvPr id="2" name="Picture 1"/>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68286" y="8176323"/>
          <a:ext cx="2703443" cy="2463587"/>
        </a:xfrm>
        <a:prstGeom prst="rect">
          <a:avLst/>
        </a:prstGeom>
      </xdr:spPr>
    </xdr:pic>
    <xdr:clientData/>
  </xdr:twoCellAnchor>
  <xdr:twoCellAnchor editAs="oneCell">
    <xdr:from>
      <xdr:col>0</xdr:col>
      <xdr:colOff>276226</xdr:colOff>
      <xdr:row>11</xdr:row>
      <xdr:rowOff>123826</xdr:rowOff>
    </xdr:from>
    <xdr:to>
      <xdr:col>8</xdr:col>
      <xdr:colOff>583132</xdr:colOff>
      <xdr:row>14</xdr:row>
      <xdr:rowOff>171450</xdr:rowOff>
    </xdr:to>
    <xdr:pic>
      <xdr:nvPicPr>
        <xdr:cNvPr id="3" name="Picture 2"/>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6226" y="2295526"/>
          <a:ext cx="5183706" cy="590549"/>
        </a:xfrm>
        <a:prstGeom prst="rect">
          <a:avLst/>
        </a:prstGeom>
      </xdr:spPr>
    </xdr:pic>
    <xdr:clientData/>
  </xdr:twoCellAnchor>
  <xdr:twoCellAnchor editAs="oneCell">
    <xdr:from>
      <xdr:col>2</xdr:col>
      <xdr:colOff>157370</xdr:colOff>
      <xdr:row>17</xdr:row>
      <xdr:rowOff>182219</xdr:rowOff>
    </xdr:from>
    <xdr:to>
      <xdr:col>6</xdr:col>
      <xdr:colOff>521805</xdr:colOff>
      <xdr:row>24</xdr:row>
      <xdr:rowOff>150632</xdr:rowOff>
    </xdr:to>
    <xdr:pic>
      <xdr:nvPicPr>
        <xdr:cNvPr id="4" name="Picture 3"/>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376570" y="3496919"/>
          <a:ext cx="2802835" cy="1235238"/>
        </a:xfrm>
        <a:prstGeom prst="rect">
          <a:avLst/>
        </a:prstGeom>
      </xdr:spPr>
    </xdr:pic>
    <xdr:clientData/>
  </xdr:twoCellAnchor>
  <xdr:twoCellAnchor>
    <xdr:from>
      <xdr:col>8</xdr:col>
      <xdr:colOff>190501</xdr:colOff>
      <xdr:row>11</xdr:row>
      <xdr:rowOff>157370</xdr:rowOff>
    </xdr:from>
    <xdr:to>
      <xdr:col>8</xdr:col>
      <xdr:colOff>488674</xdr:colOff>
      <xdr:row>13</xdr:row>
      <xdr:rowOff>115958</xdr:rowOff>
    </xdr:to>
    <xdr:cxnSp macro="">
      <xdr:nvCxnSpPr>
        <xdr:cNvPr id="5" name="Straight Arrow Connector 4"/>
        <xdr:cNvCxnSpPr/>
      </xdr:nvCxnSpPr>
      <xdr:spPr>
        <a:xfrm flipH="1">
          <a:off x="5067301" y="2329070"/>
          <a:ext cx="298173" cy="339588"/>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49698</xdr:colOff>
      <xdr:row>20</xdr:row>
      <xdr:rowOff>149087</xdr:rowOff>
    </xdr:from>
    <xdr:to>
      <xdr:col>6</xdr:col>
      <xdr:colOff>347871</xdr:colOff>
      <xdr:row>22</xdr:row>
      <xdr:rowOff>107675</xdr:rowOff>
    </xdr:to>
    <xdr:cxnSp macro="">
      <xdr:nvCxnSpPr>
        <xdr:cNvPr id="6" name="Straight Arrow Connector 5"/>
        <xdr:cNvCxnSpPr/>
      </xdr:nvCxnSpPr>
      <xdr:spPr>
        <a:xfrm flipH="1">
          <a:off x="3707298" y="4035287"/>
          <a:ext cx="298173" cy="339588"/>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2</xdr:col>
      <xdr:colOff>182219</xdr:colOff>
      <xdr:row>29</xdr:row>
      <xdr:rowOff>33130</xdr:rowOff>
    </xdr:from>
    <xdr:to>
      <xdr:col>6</xdr:col>
      <xdr:colOff>372719</xdr:colOff>
      <xdr:row>38</xdr:row>
      <xdr:rowOff>111499</xdr:rowOff>
    </xdr:to>
    <xdr:pic>
      <xdr:nvPicPr>
        <xdr:cNvPr id="7" name="Picture 6"/>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401419" y="5710030"/>
          <a:ext cx="2628900" cy="1707144"/>
        </a:xfrm>
        <a:prstGeom prst="rect">
          <a:avLst/>
        </a:prstGeom>
      </xdr:spPr>
    </xdr:pic>
    <xdr:clientData/>
  </xdr:twoCellAnchor>
  <xdr:twoCellAnchor>
    <xdr:from>
      <xdr:col>2</xdr:col>
      <xdr:colOff>447262</xdr:colOff>
      <xdr:row>50</xdr:row>
      <xdr:rowOff>24848</xdr:rowOff>
    </xdr:from>
    <xdr:to>
      <xdr:col>3</xdr:col>
      <xdr:colOff>41413</xdr:colOff>
      <xdr:row>52</xdr:row>
      <xdr:rowOff>66261</xdr:rowOff>
    </xdr:to>
    <xdr:cxnSp macro="">
      <xdr:nvCxnSpPr>
        <xdr:cNvPr id="8" name="Straight Arrow Connector 7"/>
        <xdr:cNvCxnSpPr/>
      </xdr:nvCxnSpPr>
      <xdr:spPr>
        <a:xfrm flipH="1" flipV="1">
          <a:off x="1666462" y="9702248"/>
          <a:ext cx="203751" cy="422413"/>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588067</xdr:colOff>
      <xdr:row>35</xdr:row>
      <xdr:rowOff>91109</xdr:rowOff>
    </xdr:from>
    <xdr:to>
      <xdr:col>6</xdr:col>
      <xdr:colOff>182218</xdr:colOff>
      <xdr:row>37</xdr:row>
      <xdr:rowOff>132522</xdr:rowOff>
    </xdr:to>
    <xdr:cxnSp macro="">
      <xdr:nvCxnSpPr>
        <xdr:cNvPr id="9" name="Straight Arrow Connector 8"/>
        <xdr:cNvCxnSpPr/>
      </xdr:nvCxnSpPr>
      <xdr:spPr>
        <a:xfrm flipH="1" flipV="1">
          <a:off x="3636067" y="6911009"/>
          <a:ext cx="203751" cy="422413"/>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0</xdr:col>
      <xdr:colOff>149087</xdr:colOff>
      <xdr:row>0</xdr:row>
      <xdr:rowOff>49696</xdr:rowOff>
    </xdr:from>
    <xdr:to>
      <xdr:col>0</xdr:col>
      <xdr:colOff>554935</xdr:colOff>
      <xdr:row>2</xdr:row>
      <xdr:rowOff>74544</xdr:rowOff>
    </xdr:to>
    <xdr:pic>
      <xdr:nvPicPr>
        <xdr:cNvPr id="10" name="Picture 9">
          <a:hlinkClick xmlns:r="http://schemas.openxmlformats.org/officeDocument/2006/relationships" r:id="rId5"/>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a:ext>
          </a:extLst>
        </a:blip>
        <a:stretch>
          <a:fillRect/>
        </a:stretch>
      </xdr:blipFill>
      <xdr:spPr>
        <a:xfrm>
          <a:off x="149087" y="49696"/>
          <a:ext cx="405848" cy="405848"/>
        </a:xfrm>
        <a:prstGeom prst="rect">
          <a:avLst/>
        </a:prstGeom>
      </xdr:spPr>
    </xdr:pic>
    <xdr:clientData/>
  </xdr:twoCellAnchor>
  <xdr:twoCellAnchor editAs="oneCell">
    <xdr:from>
      <xdr:col>8</xdr:col>
      <xdr:colOff>530088</xdr:colOff>
      <xdr:row>57</xdr:row>
      <xdr:rowOff>165652</xdr:rowOff>
    </xdr:from>
    <xdr:to>
      <xdr:col>10</xdr:col>
      <xdr:colOff>215348</xdr:colOff>
      <xdr:row>62</xdr:row>
      <xdr:rowOff>165651</xdr:rowOff>
    </xdr:to>
    <xdr:pic>
      <xdr:nvPicPr>
        <xdr:cNvPr id="11" name="Picture 10"/>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5433392" y="10725978"/>
          <a:ext cx="911086" cy="911086"/>
        </a:xfrm>
        <a:prstGeom prst="rect">
          <a:avLst/>
        </a:prstGeom>
      </xdr:spPr>
    </xdr:pic>
    <xdr:clientData/>
  </xdr:twoCellAnchor>
</xdr:wsDr>
</file>

<file path=xl/tables/table1.xml><?xml version="1.0" encoding="utf-8"?>
<table xmlns="http://schemas.openxmlformats.org/spreadsheetml/2006/main" id="1" name="Table1" displayName="Table1" ref="A1:B27" totalsRowShown="0" headerRowDxfId="3" dataDxfId="2">
  <autoFilter ref="A1:B27"/>
  <tableColumns count="2">
    <tableColumn id="1" name="Date" dataDxfId="1"/>
    <tableColumn id="2" name="Description"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Full Year Calendar">
      <a:dk1>
        <a:sysClr val="windowText" lastClr="000000"/>
      </a:dk1>
      <a:lt1>
        <a:sysClr val="window" lastClr="FFFFFF"/>
      </a:lt1>
      <a:dk2>
        <a:srgbClr val="3F250E"/>
      </a:dk2>
      <a:lt2>
        <a:srgbClr val="FFFBEB"/>
      </a:lt2>
      <a:accent1>
        <a:srgbClr val="FCCD00"/>
      </a:accent1>
      <a:accent2>
        <a:srgbClr val="FC953A"/>
      </a:accent2>
      <a:accent3>
        <a:srgbClr val="99BC33"/>
      </a:accent3>
      <a:accent4>
        <a:srgbClr val="2BC0E4"/>
      </a:accent4>
      <a:accent5>
        <a:srgbClr val="BA6ECB"/>
      </a:accent5>
      <a:accent6>
        <a:srgbClr val="FF619B"/>
      </a:accent6>
      <a:hlink>
        <a:srgbClr val="2BC0E4"/>
      </a:hlink>
      <a:folHlink>
        <a:srgbClr val="BA6ECB"/>
      </a:folHlink>
    </a:clrScheme>
    <a:fontScheme name="Full Year Calendar">
      <a:majorFont>
        <a:latin typeface="Impact"/>
        <a:ea typeface=""/>
        <a:cs typeface=""/>
      </a:majorFont>
      <a:minorFont>
        <a:latin typeface="Microsoft Sans Serif"/>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tint="-0.249977111117893"/>
    <pageSetUpPr autoPageBreaks="0"/>
  </sheetPr>
  <dimension ref="A1:AG50"/>
  <sheetViews>
    <sheetView showGridLines="0" tabSelected="1" zoomScale="130" zoomScaleNormal="130" workbookViewId="0">
      <selection activeCell="X1" sqref="X1"/>
    </sheetView>
  </sheetViews>
  <sheetFormatPr defaultRowHeight="15.75" customHeight="1" x14ac:dyDescent="0.2"/>
  <cols>
    <col min="1" max="1" width="3.5703125" customWidth="1"/>
    <col min="2" max="32" width="4.28515625" customWidth="1"/>
    <col min="33" max="33" width="4.7109375" customWidth="1"/>
  </cols>
  <sheetData>
    <row r="1" spans="1:33" ht="24" customHeight="1" x14ac:dyDescent="0.2">
      <c r="X1" s="12" t="s">
        <v>36</v>
      </c>
      <c r="AB1" s="14" t="s">
        <v>39</v>
      </c>
      <c r="AD1" s="3"/>
      <c r="AE1" s="16"/>
      <c r="AF1" s="16"/>
    </row>
    <row r="3" spans="1:33" ht="81.75" customHeight="1" x14ac:dyDescent="0.2">
      <c r="X3" s="17">
        <v>1393</v>
      </c>
      <c r="Y3" s="17"/>
      <c r="Z3" s="17"/>
      <c r="AA3" s="17"/>
      <c r="AB3" s="17"/>
      <c r="AC3" s="17"/>
      <c r="AD3" s="17"/>
      <c r="AE3" s="17"/>
      <c r="AF3" s="17"/>
      <c r="AG3" s="17"/>
    </row>
    <row r="4" spans="1:33" ht="12.75" hidden="1" x14ac:dyDescent="0.2">
      <c r="A4" t="b">
        <v>1</v>
      </c>
      <c r="B4" s="7">
        <v>0</v>
      </c>
      <c r="C4" s="7">
        <v>1</v>
      </c>
      <c r="D4" s="7">
        <v>2</v>
      </c>
      <c r="E4" s="7">
        <v>3</v>
      </c>
      <c r="F4" s="7">
        <v>4</v>
      </c>
      <c r="G4" s="7">
        <v>5</v>
      </c>
      <c r="H4" s="7">
        <v>6</v>
      </c>
      <c r="I4" s="8"/>
      <c r="J4" s="7">
        <v>0</v>
      </c>
      <c r="K4" s="7">
        <v>1</v>
      </c>
      <c r="L4" s="7">
        <v>2</v>
      </c>
      <c r="M4" s="7">
        <v>3</v>
      </c>
      <c r="N4" s="7">
        <v>4</v>
      </c>
      <c r="O4" s="7">
        <v>5</v>
      </c>
      <c r="P4" s="7">
        <v>6</v>
      </c>
      <c r="Q4" s="8"/>
      <c r="R4" s="7">
        <v>0</v>
      </c>
      <c r="S4" s="7">
        <v>1</v>
      </c>
      <c r="T4" s="7">
        <v>2</v>
      </c>
      <c r="U4" s="7">
        <v>3</v>
      </c>
      <c r="V4" s="7">
        <v>4</v>
      </c>
      <c r="W4" s="7">
        <v>5</v>
      </c>
      <c r="X4" s="7">
        <v>6</v>
      </c>
      <c r="Z4" s="5"/>
      <c r="AA4" s="5"/>
      <c r="AB4" s="5"/>
      <c r="AC4" s="5"/>
      <c r="AD4" s="5"/>
      <c r="AE4" s="5"/>
      <c r="AF4" s="5"/>
    </row>
    <row r="5" spans="1:33" ht="15" customHeight="1" x14ac:dyDescent="0.2">
      <c r="B5" s="7"/>
      <c r="C5" s="7"/>
      <c r="D5" s="7"/>
      <c r="E5" s="7"/>
      <c r="F5" s="7"/>
      <c r="G5" s="7"/>
      <c r="H5" s="7"/>
      <c r="I5" s="8"/>
      <c r="J5" s="7"/>
      <c r="K5" s="7"/>
      <c r="L5" s="7"/>
      <c r="M5" s="7"/>
      <c r="N5" s="7"/>
      <c r="O5" s="7"/>
      <c r="P5" s="7"/>
      <c r="Q5" s="8"/>
      <c r="R5" s="7"/>
      <c r="S5" s="7"/>
      <c r="T5" s="7"/>
      <c r="U5" s="7"/>
      <c r="V5" s="7"/>
      <c r="W5" s="7"/>
      <c r="X5" s="7"/>
      <c r="Z5" s="5"/>
      <c r="AA5" s="5"/>
      <c r="AB5" s="5"/>
      <c r="AC5" s="5"/>
      <c r="AD5" s="5"/>
      <c r="AE5" s="5"/>
      <c r="AF5" s="5"/>
    </row>
    <row r="6" spans="1:33" ht="23.25" x14ac:dyDescent="0.2">
      <c r="B6" s="15" t="s">
        <v>0</v>
      </c>
      <c r="C6" s="15"/>
      <c r="D6" s="15"/>
      <c r="E6" s="15"/>
      <c r="F6" s="15"/>
      <c r="J6" s="15" t="s">
        <v>8</v>
      </c>
      <c r="K6" s="15"/>
      <c r="L6" s="15"/>
      <c r="M6" s="15"/>
      <c r="N6" s="15"/>
      <c r="R6" s="15" t="s">
        <v>9</v>
      </c>
      <c r="S6" s="15"/>
      <c r="T6" s="15"/>
      <c r="U6" s="15"/>
      <c r="V6" s="15"/>
      <c r="Z6" s="15"/>
      <c r="AA6" s="15"/>
      <c r="AB6" s="15"/>
      <c r="AC6" s="15"/>
      <c r="AD6" s="15"/>
    </row>
    <row r="7" spans="1:33" ht="15.75" customHeight="1" x14ac:dyDescent="0.2">
      <c r="B7" s="4" t="s">
        <v>1</v>
      </c>
      <c r="C7" s="4" t="s">
        <v>2</v>
      </c>
      <c r="D7" s="4" t="s">
        <v>3</v>
      </c>
      <c r="E7" s="4" t="s">
        <v>4</v>
      </c>
      <c r="F7" s="4" t="s">
        <v>5</v>
      </c>
      <c r="G7" s="4" t="s">
        <v>6</v>
      </c>
      <c r="H7" s="4" t="s">
        <v>7</v>
      </c>
      <c r="J7" s="4" t="s">
        <v>1</v>
      </c>
      <c r="K7" s="4" t="s">
        <v>2</v>
      </c>
      <c r="L7" s="4" t="s">
        <v>3</v>
      </c>
      <c r="M7" s="4" t="s">
        <v>4</v>
      </c>
      <c r="N7" s="4" t="s">
        <v>5</v>
      </c>
      <c r="O7" s="4" t="s">
        <v>6</v>
      </c>
      <c r="P7" s="4" t="s">
        <v>7</v>
      </c>
      <c r="R7" s="4" t="str">
        <f t="shared" ref="R7:X7" si="0">B7</f>
        <v>ش</v>
      </c>
      <c r="S7" s="4" t="str">
        <f t="shared" si="0"/>
        <v>ی</v>
      </c>
      <c r="T7" s="4" t="str">
        <f t="shared" si="0"/>
        <v>د</v>
      </c>
      <c r="U7" s="4" t="str">
        <f t="shared" si="0"/>
        <v>س</v>
      </c>
      <c r="V7" s="4" t="str">
        <f t="shared" si="0"/>
        <v>چ</v>
      </c>
      <c r="W7" s="4" t="str">
        <f t="shared" si="0"/>
        <v>پ</v>
      </c>
      <c r="X7" s="4" t="str">
        <f t="shared" si="0"/>
        <v>ج</v>
      </c>
      <c r="Z7" s="4"/>
      <c r="AA7" s="4"/>
      <c r="AB7" s="4"/>
      <c r="AC7" s="4"/>
      <c r="AD7" s="4"/>
      <c r="AE7" s="4"/>
      <c r="AF7" s="4"/>
    </row>
    <row r="8" spans="1:33" ht="15.75" customHeight="1" x14ac:dyDescent="0.2">
      <c r="B8" s="2">
        <f>IF(J_WEEKDAY(CalendarYear&amp;"/01/01")=B$4,1,
IF(J_WEEKDAY(CalendarYear&amp;"/01/01")&lt;B$4,A8+1,
RIGHT(J_ADDDAY(CalendarYear&amp;"/01/"&amp;C8,-1),2)*1))</f>
        <v>24</v>
      </c>
      <c r="C8" s="2">
        <f>IF(J_WEEKDAY(CalendarYear&amp;"/01/01")=C$4,1,
IF(J_WEEKDAY(CalendarYear&amp;"/01/01")&lt;C$4,B8+1,
RIGHT(J_ADDDAY(CalendarYear&amp;"/01/"&amp;D8,-1),2)*1))</f>
        <v>25</v>
      </c>
      <c r="D8" s="2">
        <f>IF(J_WEEKDAY(CalendarYear&amp;"/01/01")=D$4,1,
IF(J_WEEKDAY(CalendarYear&amp;"/01/01")&lt;D$4,C8+1,
RIGHT(J_ADDDAY(CalendarYear&amp;"/01/"&amp;E8,-1),2)*1))</f>
        <v>26</v>
      </c>
      <c r="E8" s="2">
        <f>IF(J_WEEKDAY(CalendarYear&amp;"/01/01")=E$4,1,
IF(J_WEEKDAY(CalendarYear&amp;"/01/01")&lt;E$4,D8+1,
RIGHT(J_ADDDAY(CalendarYear&amp;"/01/"&amp;F8,-1),2)*1))</f>
        <v>27</v>
      </c>
      <c r="F8" s="2">
        <f>IF(J_WEEKDAY(CalendarYear&amp;"/01/01")=F$4,1,
IF(J_WEEKDAY(CalendarYear&amp;"/01/01")&lt;F$4,E8+1,
RIGHT(J_ADDDAY(CalendarYear&amp;"/01/"&amp;G8,-1),2)*1))</f>
        <v>28</v>
      </c>
      <c r="G8" s="2">
        <f>IF(J_WEEKDAY(CalendarYear&amp;"/01/01")=G$4,1,
IF(J_WEEKDAY(CalendarYear&amp;"/01/01")&lt;G$4,F8+1,
RIGHT(J_ADDDAY(CalendarYear&amp;"/01/"&amp;H8,-1),2)*1))</f>
        <v>29</v>
      </c>
      <c r="H8" s="2">
        <f>IF(J_WEEKDAY(CalendarYear&amp;"/01/01")=H$4,1,
IF(J_WEEKDAY(CalendarYear&amp;"/01/01")&lt;H$4,G8+1,
RIGHT(J_ADDDAY(CalendarYear&amp;"/01/"&amp;I8,-1),2)*1))</f>
        <v>1</v>
      </c>
      <c r="J8" s="2">
        <f>IF(J_WEEKDAY(CalendarYear&amp;"/02/01")=J$4,1,
IF(J_WEEKDAY(CalendarYear&amp;"/02/01")&lt;J4,I8+1,
RIGHT(J_ADDDAY(CalendarYear&amp;"/02/"&amp;K8,-1),2)*1))</f>
        <v>30</v>
      </c>
      <c r="K8" s="2">
        <f>IF(J_WEEKDAY(CalendarYear&amp;"/02/01")=K$4,1,
IF(J_WEEKDAY(CalendarYear&amp;"/02/01")&lt;K4,J8+1,
RIGHT(J_ADDDAY(CalendarYear&amp;"/02/"&amp;L8,-1),2)*1))</f>
        <v>31</v>
      </c>
      <c r="L8" s="2">
        <f>IF(J_WEEKDAY(CalendarYear&amp;"/02/01")=L$4,1,
IF(J_WEEKDAY(CalendarYear&amp;"/02/01")&lt;L4,K8+1,
RIGHT(J_ADDDAY(CalendarYear&amp;"/02/"&amp;M8,-1),2)*1))</f>
        <v>1</v>
      </c>
      <c r="M8" s="2">
        <f>IF(J_WEEKDAY(CalendarYear&amp;"/02/01")=M4,1,
IF(J_WEEKDAY(CalendarYear&amp;"/02/01")&lt;M4,L8+1,
RIGHT(J_ADDDAY(CalendarYear&amp;"/02/"&amp;N8,-1),2)*1))</f>
        <v>2</v>
      </c>
      <c r="N8" s="2">
        <f>IF(J_WEEKDAY(CalendarYear&amp;"/02/01")=N4,1,
IF(J_WEEKDAY(CalendarYear&amp;"/02/01")&lt;N4,M8+1,
RIGHT(J_ADDDAY(CalendarYear&amp;"/02/"&amp;O8,-1),2)*1))</f>
        <v>3</v>
      </c>
      <c r="O8" s="2">
        <f>IF(J_WEEKDAY(CalendarYear&amp;"/02/01")=O4,1,
IF(J_WEEKDAY(CalendarYear&amp;"/02/01")&lt;O4,N8+1,
RIGHT(J_ADDDAY(CalendarYear&amp;"/02/"&amp;P8,-1),2)*1))</f>
        <v>4</v>
      </c>
      <c r="P8" s="2">
        <f>IF(J_WEEKDAY(CalendarYear&amp;"/02/01")=P4,1,
IF(J_WEEKDAY(CalendarYear&amp;"/02/01")&lt;P4,O8+1,
RIGHT(J_ADDDAY(CalendarYear&amp;"/02/"&amp;Q8,-1),2)*1))</f>
        <v>5</v>
      </c>
      <c r="R8" s="2">
        <f>IF(J_WEEKDAY(CalendarYear&amp;"/03/01")=R$4,1,
IF(J_WEEKDAY(CalendarYear&amp;"/03/01")&lt;R4,Q8+1,
RIGHT(J_ADDDAY(CalendarYear&amp;"/03/"&amp;S8,-1),2)*1))</f>
        <v>27</v>
      </c>
      <c r="S8" s="2">
        <f>IF(J_WEEKDAY(CalendarYear&amp;"/03/01")=S$4,1,
IF(J_WEEKDAY(CalendarYear&amp;"/03/01")&lt;S4,R8+1,
RIGHT(J_ADDDAY(CalendarYear&amp;"/03/"&amp;T8,-1),2)*1))</f>
        <v>28</v>
      </c>
      <c r="T8" s="2">
        <f>IF(J_WEEKDAY(CalendarYear&amp;"/03/01")=T$4,1,
IF(J_WEEKDAY(CalendarYear&amp;"/03/01")&lt;T4,S8+1,
RIGHT(J_ADDDAY(CalendarYear&amp;"/03/"&amp;U8,-1),2)*1))</f>
        <v>29</v>
      </c>
      <c r="U8" s="2">
        <f>IF(J_WEEKDAY(CalendarYear&amp;"/03/01")=U4,1,
IF(J_WEEKDAY(CalendarYear&amp;"/03/01")&lt;U4,T8+1,
RIGHT(J_ADDDAY(CalendarYear&amp;"/03/"&amp;V8,-1),2)*1))</f>
        <v>30</v>
      </c>
      <c r="V8" s="2">
        <f>IF(J_WEEKDAY(CalendarYear&amp;"/03/01")=V4,1,
IF(J_WEEKDAY(CalendarYear&amp;"/03/01")&lt;V4,U8+1,
RIGHT(J_ADDDAY(CalendarYear&amp;"/03/"&amp;W8,-1),2)*1))</f>
        <v>31</v>
      </c>
      <c r="W8" s="2">
        <f>IF(J_WEEKDAY(CalendarYear&amp;"/03/01")=W4,1,
IF(J_WEEKDAY(CalendarYear&amp;"/03/01")&lt;W4,V8+1,
RIGHT(J_ADDDAY(CalendarYear&amp;"/03/"&amp;X8,-1),2)*1))</f>
        <v>1</v>
      </c>
      <c r="X8" s="2">
        <f>IF(J_WEEKDAY(CalendarYear&amp;"/03/01")=X4,1,
IF(J_WEEKDAY(CalendarYear&amp;"/03/01")&lt;X4,W8+1,
RIGHT(J_ADDDAY(CalendarYear&amp;"/03/"&amp;Y8,-1),2)*1))</f>
        <v>2</v>
      </c>
      <c r="Z8" s="2"/>
      <c r="AA8" s="2"/>
      <c r="AB8" s="2"/>
      <c r="AC8" s="2"/>
      <c r="AD8" s="2"/>
      <c r="AE8" s="2"/>
      <c r="AF8" s="2"/>
    </row>
    <row r="9" spans="1:33" ht="15.75" customHeight="1" x14ac:dyDescent="0.2">
      <c r="B9" s="6">
        <f>H8+1</f>
        <v>2</v>
      </c>
      <c r="C9" s="6">
        <f>B9+1</f>
        <v>3</v>
      </c>
      <c r="D9" s="6">
        <f t="shared" ref="D9:H10" si="1">C9+1</f>
        <v>4</v>
      </c>
      <c r="E9" s="6">
        <f t="shared" si="1"/>
        <v>5</v>
      </c>
      <c r="F9" s="6">
        <f t="shared" si="1"/>
        <v>6</v>
      </c>
      <c r="G9" s="6">
        <f t="shared" si="1"/>
        <v>7</v>
      </c>
      <c r="H9" s="6">
        <f t="shared" si="1"/>
        <v>8</v>
      </c>
      <c r="J9" s="6">
        <f>P8+1</f>
        <v>6</v>
      </c>
      <c r="K9" s="6">
        <f>J9+1</f>
        <v>7</v>
      </c>
      <c r="L9" s="6">
        <f t="shared" ref="L9:P9" si="2">K9+1</f>
        <v>8</v>
      </c>
      <c r="M9" s="6">
        <f t="shared" si="2"/>
        <v>9</v>
      </c>
      <c r="N9" s="6">
        <f t="shared" si="2"/>
        <v>10</v>
      </c>
      <c r="O9" s="6">
        <f t="shared" si="2"/>
        <v>11</v>
      </c>
      <c r="P9" s="6">
        <f t="shared" si="2"/>
        <v>12</v>
      </c>
      <c r="R9" s="6">
        <f>X8+1</f>
        <v>3</v>
      </c>
      <c r="S9" s="6">
        <f>R9+1</f>
        <v>4</v>
      </c>
      <c r="T9" s="6">
        <f t="shared" ref="T9:X9" si="3">S9+1</f>
        <v>5</v>
      </c>
      <c r="U9" s="6">
        <f t="shared" si="3"/>
        <v>6</v>
      </c>
      <c r="V9" s="6">
        <f t="shared" si="3"/>
        <v>7</v>
      </c>
      <c r="W9" s="6">
        <f t="shared" si="3"/>
        <v>8</v>
      </c>
      <c r="X9" s="6">
        <f t="shared" si="3"/>
        <v>9</v>
      </c>
      <c r="Z9" s="6"/>
      <c r="AA9" s="6"/>
      <c r="AB9" s="6"/>
      <c r="AC9" s="6"/>
      <c r="AD9" s="6"/>
      <c r="AE9" s="6"/>
      <c r="AF9" s="6"/>
    </row>
    <row r="10" spans="1:33" ht="15.75" customHeight="1" x14ac:dyDescent="0.2">
      <c r="B10" s="6">
        <f>H9+1</f>
        <v>9</v>
      </c>
      <c r="C10" s="6">
        <f>B10+1</f>
        <v>10</v>
      </c>
      <c r="D10" s="6">
        <f t="shared" si="1"/>
        <v>11</v>
      </c>
      <c r="E10" s="6">
        <f t="shared" si="1"/>
        <v>12</v>
      </c>
      <c r="F10" s="6">
        <f t="shared" si="1"/>
        <v>13</v>
      </c>
      <c r="G10" s="6">
        <f t="shared" si="1"/>
        <v>14</v>
      </c>
      <c r="H10" s="6">
        <f t="shared" si="1"/>
        <v>15</v>
      </c>
      <c r="J10" s="6">
        <f>P9+1</f>
        <v>13</v>
      </c>
      <c r="K10" s="6">
        <f>J10+1</f>
        <v>14</v>
      </c>
      <c r="L10" s="6">
        <f t="shared" ref="L10:P10" si="4">K10+1</f>
        <v>15</v>
      </c>
      <c r="M10" s="6">
        <f t="shared" si="4"/>
        <v>16</v>
      </c>
      <c r="N10" s="6">
        <f t="shared" si="4"/>
        <v>17</v>
      </c>
      <c r="O10" s="6">
        <f t="shared" si="4"/>
        <v>18</v>
      </c>
      <c r="P10" s="6">
        <f t="shared" si="4"/>
        <v>19</v>
      </c>
      <c r="R10" s="6">
        <f>X9+1</f>
        <v>10</v>
      </c>
      <c r="S10" s="6">
        <f>R10+1</f>
        <v>11</v>
      </c>
      <c r="T10" s="6">
        <f t="shared" ref="T10:X10" si="5">S10+1</f>
        <v>12</v>
      </c>
      <c r="U10" s="6">
        <f t="shared" si="5"/>
        <v>13</v>
      </c>
      <c r="V10" s="6">
        <f t="shared" si="5"/>
        <v>14</v>
      </c>
      <c r="W10" s="6">
        <f t="shared" si="5"/>
        <v>15</v>
      </c>
      <c r="X10" s="6">
        <f t="shared" si="5"/>
        <v>16</v>
      </c>
      <c r="Z10" s="6"/>
      <c r="AA10" s="6"/>
      <c r="AB10" s="6"/>
      <c r="AC10" s="6"/>
      <c r="AD10" s="6"/>
      <c r="AE10" s="6"/>
      <c r="AF10" s="6"/>
    </row>
    <row r="11" spans="1:33" ht="15.75" customHeight="1" x14ac:dyDescent="0.2">
      <c r="B11" s="6">
        <f>H10+1</f>
        <v>16</v>
      </c>
      <c r="C11" s="6">
        <f>B11+1</f>
        <v>17</v>
      </c>
      <c r="D11" s="6">
        <f t="shared" ref="D11:H11" si="6">C11+1</f>
        <v>18</v>
      </c>
      <c r="E11" s="6">
        <f t="shared" si="6"/>
        <v>19</v>
      </c>
      <c r="F11" s="6">
        <f t="shared" si="6"/>
        <v>20</v>
      </c>
      <c r="G11" s="6">
        <f t="shared" si="6"/>
        <v>21</v>
      </c>
      <c r="H11" s="6">
        <f t="shared" si="6"/>
        <v>22</v>
      </c>
      <c r="J11" s="6">
        <f>P10+1</f>
        <v>20</v>
      </c>
      <c r="K11" s="6">
        <f>J11+1</f>
        <v>21</v>
      </c>
      <c r="L11" s="6">
        <f t="shared" ref="L11:P11" si="7">K11+1</f>
        <v>22</v>
      </c>
      <c r="M11" s="6">
        <f t="shared" si="7"/>
        <v>23</v>
      </c>
      <c r="N11" s="6">
        <f t="shared" si="7"/>
        <v>24</v>
      </c>
      <c r="O11" s="6">
        <f t="shared" si="7"/>
        <v>25</v>
      </c>
      <c r="P11" s="6">
        <f t="shared" si="7"/>
        <v>26</v>
      </c>
      <c r="R11" s="6">
        <f>X10+1</f>
        <v>17</v>
      </c>
      <c r="S11" s="6">
        <f>R11+1</f>
        <v>18</v>
      </c>
      <c r="T11" s="6">
        <f t="shared" ref="T11:X11" si="8">S11+1</f>
        <v>19</v>
      </c>
      <c r="U11" s="6">
        <f t="shared" si="8"/>
        <v>20</v>
      </c>
      <c r="V11" s="6">
        <f t="shared" si="8"/>
        <v>21</v>
      </c>
      <c r="W11" s="6">
        <f t="shared" si="8"/>
        <v>22</v>
      </c>
      <c r="X11" s="6">
        <f t="shared" si="8"/>
        <v>23</v>
      </c>
      <c r="Z11" s="6"/>
      <c r="AA11" s="6"/>
      <c r="AB11" s="6"/>
      <c r="AC11" s="6"/>
      <c r="AD11" s="6"/>
      <c r="AE11" s="6"/>
      <c r="AF11" s="6"/>
    </row>
    <row r="12" spans="1:33" ht="15.75" customHeight="1" x14ac:dyDescent="0.2">
      <c r="B12" s="2">
        <f>RIGHT(J_ADDDAY(CalendarYear&amp;"/01/"&amp;H11,1),2)*1</f>
        <v>23</v>
      </c>
      <c r="C12" s="2">
        <f>RIGHT(J_ADDDAY(CalendarYear&amp;"/01/"&amp;B12,1),2)*1</f>
        <v>24</v>
      </c>
      <c r="D12" s="2">
        <f>RIGHT(J_ADDDAY(CalendarYear&amp;"/01/"&amp;C12,1),2)*1</f>
        <v>25</v>
      </c>
      <c r="E12" s="2">
        <f>RIGHT(J_ADDDAY(CalendarYear&amp;"/01/"&amp;D12,1),2)*1</f>
        <v>26</v>
      </c>
      <c r="F12" s="2">
        <f>RIGHT(J_ADDDAY(CalendarYear&amp;"/01/"&amp;E12,1),2)*1</f>
        <v>27</v>
      </c>
      <c r="G12" s="2">
        <f>RIGHT(J_ADDDAY(CalendarYear&amp;"/01/"&amp;F12,1),2)*1</f>
        <v>28</v>
      </c>
      <c r="H12" s="2">
        <f>RIGHT(J_ADDDAY(CalendarYear&amp;"/01/"&amp;G12,1),2)*1</f>
        <v>29</v>
      </c>
      <c r="J12" s="2">
        <f>RIGHT(J_ADDDAY(CalendarYear&amp;"/02/"&amp;P11,1),2)*1</f>
        <v>27</v>
      </c>
      <c r="K12" s="2">
        <f>RIGHT(J_ADDDAY(CalendarYear&amp;"/02/"&amp;J12,1),2)*1</f>
        <v>28</v>
      </c>
      <c r="L12" s="2">
        <f>RIGHT(J_ADDDAY(CalendarYear&amp;"/02/"&amp;K12,1),2)*1</f>
        <v>29</v>
      </c>
      <c r="M12" s="2">
        <f>RIGHT(J_ADDDAY(CalendarYear&amp;"/02/"&amp;L12,1),2)*1</f>
        <v>30</v>
      </c>
      <c r="N12" s="2">
        <f>RIGHT(J_ADDDAY(CalendarYear&amp;"/02/"&amp;M12,1),2)*1</f>
        <v>31</v>
      </c>
      <c r="O12" s="2">
        <f>RIGHT(J_ADDDAY(CalendarYear&amp;"/02/"&amp;N12,1),2)*1</f>
        <v>1</v>
      </c>
      <c r="P12" s="2">
        <f>RIGHT(J_ADDDAY(CalendarYear&amp;"/02/"&amp;O12,1),2)*1</f>
        <v>2</v>
      </c>
      <c r="R12" s="2">
        <f>RIGHT(J_ADDDAY(CalendarYear&amp;"/03/"&amp;X11,1),2)*1</f>
        <v>24</v>
      </c>
      <c r="S12" s="2">
        <f>RIGHT(J_ADDDAY(CalendarYear&amp;"/03/"&amp;R12,1),2)*1</f>
        <v>25</v>
      </c>
      <c r="T12" s="2">
        <f>RIGHT(J_ADDDAY(CalendarYear&amp;"/03/"&amp;S12,1),2)*1</f>
        <v>26</v>
      </c>
      <c r="U12" s="2">
        <f>RIGHT(J_ADDDAY(CalendarYear&amp;"/03/"&amp;T12,1),2)*1</f>
        <v>27</v>
      </c>
      <c r="V12" s="2">
        <f>RIGHT(J_ADDDAY(CalendarYear&amp;"/03/"&amp;U12,1),2)*1</f>
        <v>28</v>
      </c>
      <c r="W12" s="2">
        <f>RIGHT(J_ADDDAY(CalendarYear&amp;"/03/"&amp;V12,1),2)*1</f>
        <v>29</v>
      </c>
      <c r="X12" s="2">
        <f>RIGHT(J_ADDDAY(CalendarYear&amp;"/03/"&amp;W12,1),2)*1</f>
        <v>30</v>
      </c>
      <c r="Z12" s="2"/>
      <c r="AA12" s="2"/>
      <c r="AB12" s="2"/>
      <c r="AC12" s="2"/>
      <c r="AD12" s="2"/>
      <c r="AE12" s="2"/>
      <c r="AF12" s="2"/>
    </row>
    <row r="13" spans="1:33" ht="15.75" customHeight="1" x14ac:dyDescent="0.2">
      <c r="B13" s="2">
        <f>RIGHT(J_ADDDAY(CalendarYear&amp;"/01/"&amp;H12,1),2)*1</f>
        <v>30</v>
      </c>
      <c r="C13" s="2">
        <f>RIGHT(J_ADDDAY(CalendarYear&amp;"/01/"&amp;B13,1),2)*1</f>
        <v>31</v>
      </c>
      <c r="D13" s="2">
        <f>RIGHT(J_ADDDAY(CalendarYear&amp;"/01/"&amp;C13,1),2)*1</f>
        <v>1</v>
      </c>
      <c r="E13" s="2">
        <f>RIGHT(J_ADDDAY(CalendarYear&amp;"/01/"&amp;D13,1),2)*1</f>
        <v>2</v>
      </c>
      <c r="F13" s="2">
        <f>RIGHT(J_ADDDAY(CalendarYear&amp;"/01/"&amp;E13,1),2)*1</f>
        <v>3</v>
      </c>
      <c r="G13" s="2">
        <f>RIGHT(J_ADDDAY(CalendarYear&amp;"/01/"&amp;F13,1),2)*1</f>
        <v>4</v>
      </c>
      <c r="H13" s="2">
        <f>RIGHT(J_ADDDAY(CalendarYear&amp;"/01/"&amp;G13,1),2)*1</f>
        <v>5</v>
      </c>
      <c r="J13" s="2">
        <f>RIGHT(J_ADDDAY(CalendarYear&amp;"/02/"&amp;P12,1),2)*1</f>
        <v>3</v>
      </c>
      <c r="K13" s="2">
        <f>RIGHT(J_ADDDAY(CalendarYear&amp;"/02/"&amp;J13,1),2)*1</f>
        <v>4</v>
      </c>
      <c r="L13" s="2">
        <f>RIGHT(J_ADDDAY(CalendarYear&amp;"/02/"&amp;K13,1),2)*1</f>
        <v>5</v>
      </c>
      <c r="M13" s="2">
        <f>RIGHT(J_ADDDAY(CalendarYear&amp;"/02/"&amp;L13,1),2)*1</f>
        <v>6</v>
      </c>
      <c r="N13" s="2">
        <f>RIGHT(J_ADDDAY(CalendarYear&amp;"/02/"&amp;M13,1),2)*1</f>
        <v>7</v>
      </c>
      <c r="O13" s="2">
        <f>RIGHT(J_ADDDAY(CalendarYear&amp;"/02/"&amp;N13,1),2)*1</f>
        <v>8</v>
      </c>
      <c r="P13" s="2">
        <f>RIGHT(J_ADDDAY(CalendarYear&amp;"/02/"&amp;O13,1),2)*1</f>
        <v>9</v>
      </c>
      <c r="R13" s="2">
        <f>RIGHT(J_ADDDAY(CalendarYear&amp;"/03/"&amp;X12,1),2)*1</f>
        <v>31</v>
      </c>
      <c r="S13" s="2">
        <f>RIGHT(J_ADDDAY(CalendarYear&amp;"/03/"&amp;R13,1),2)*1</f>
        <v>1</v>
      </c>
      <c r="T13" s="2">
        <f>RIGHT(J_ADDDAY(CalendarYear&amp;"/03/"&amp;S13,1),2)*1</f>
        <v>2</v>
      </c>
      <c r="U13" s="2">
        <f>RIGHT(J_ADDDAY(CalendarYear&amp;"/03/"&amp;T13,1),2)*1</f>
        <v>3</v>
      </c>
      <c r="V13" s="2">
        <f>RIGHT(J_ADDDAY(CalendarYear&amp;"/03/"&amp;U13,1),2)*1</f>
        <v>4</v>
      </c>
      <c r="W13" s="2">
        <f>RIGHT(J_ADDDAY(CalendarYear&amp;"/03/"&amp;V13,1),2)*1</f>
        <v>5</v>
      </c>
      <c r="X13" s="2">
        <f>RIGHT(J_ADDDAY(CalendarYear&amp;"/03/"&amp;W13,1),2)*1</f>
        <v>6</v>
      </c>
      <c r="Z13" s="2"/>
      <c r="AA13" s="2"/>
      <c r="AB13" s="2"/>
      <c r="AC13" s="2"/>
      <c r="AD13" s="2"/>
      <c r="AE13" s="2"/>
      <c r="AF13" s="2"/>
    </row>
    <row r="15" spans="1:33" ht="23.25" x14ac:dyDescent="0.2">
      <c r="B15" s="15" t="s">
        <v>10</v>
      </c>
      <c r="C15" s="15"/>
      <c r="D15" s="15"/>
      <c r="E15" s="15"/>
      <c r="F15" s="15"/>
      <c r="J15" s="15" t="s">
        <v>11</v>
      </c>
      <c r="K15" s="15"/>
      <c r="L15" s="15"/>
      <c r="M15" s="15"/>
      <c r="N15" s="15"/>
      <c r="R15" s="15" t="s">
        <v>12</v>
      </c>
      <c r="S15" s="15"/>
      <c r="T15" s="15"/>
      <c r="U15" s="15"/>
      <c r="V15" s="15"/>
      <c r="Z15" s="15"/>
      <c r="AA15" s="15"/>
      <c r="AB15" s="15"/>
      <c r="AC15" s="15"/>
      <c r="AD15" s="15"/>
    </row>
    <row r="16" spans="1:33" s="1" customFormat="1" ht="15.75" customHeight="1" x14ac:dyDescent="0.2">
      <c r="B16" s="4" t="str">
        <f t="shared" ref="B16:H16" si="9">B7</f>
        <v>ش</v>
      </c>
      <c r="C16" s="4" t="str">
        <f t="shared" si="9"/>
        <v>ی</v>
      </c>
      <c r="D16" s="4" t="str">
        <f t="shared" si="9"/>
        <v>د</v>
      </c>
      <c r="E16" s="4" t="str">
        <f t="shared" si="9"/>
        <v>س</v>
      </c>
      <c r="F16" s="4" t="str">
        <f t="shared" si="9"/>
        <v>چ</v>
      </c>
      <c r="G16" s="4" t="str">
        <f t="shared" si="9"/>
        <v>پ</v>
      </c>
      <c r="H16" s="4" t="str">
        <f t="shared" si="9"/>
        <v>ج</v>
      </c>
      <c r="J16" s="4" t="str">
        <f t="shared" ref="J16:P16" si="10">B7</f>
        <v>ش</v>
      </c>
      <c r="K16" s="4" t="str">
        <f t="shared" si="10"/>
        <v>ی</v>
      </c>
      <c r="L16" s="4" t="str">
        <f t="shared" si="10"/>
        <v>د</v>
      </c>
      <c r="M16" s="4" t="str">
        <f t="shared" si="10"/>
        <v>س</v>
      </c>
      <c r="N16" s="4" t="str">
        <f t="shared" si="10"/>
        <v>چ</v>
      </c>
      <c r="O16" s="4" t="str">
        <f t="shared" si="10"/>
        <v>پ</v>
      </c>
      <c r="P16" s="4" t="str">
        <f t="shared" si="10"/>
        <v>ج</v>
      </c>
      <c r="R16" s="4" t="str">
        <f t="shared" ref="R16:X16" si="11">B7</f>
        <v>ش</v>
      </c>
      <c r="S16" s="4" t="str">
        <f t="shared" si="11"/>
        <v>ی</v>
      </c>
      <c r="T16" s="4" t="str">
        <f t="shared" si="11"/>
        <v>د</v>
      </c>
      <c r="U16" s="4" t="str">
        <f t="shared" si="11"/>
        <v>س</v>
      </c>
      <c r="V16" s="4" t="str">
        <f t="shared" si="11"/>
        <v>چ</v>
      </c>
      <c r="W16" s="4" t="str">
        <f t="shared" si="11"/>
        <v>پ</v>
      </c>
      <c r="X16" s="4" t="str">
        <f t="shared" si="11"/>
        <v>ج</v>
      </c>
      <c r="Z16" s="4"/>
      <c r="AA16" s="4"/>
      <c r="AB16" s="4"/>
      <c r="AC16" s="4"/>
      <c r="AD16" s="4"/>
      <c r="AE16" s="4"/>
      <c r="AF16" s="4"/>
    </row>
    <row r="17" spans="2:32" ht="15.75" customHeight="1" x14ac:dyDescent="0.2">
      <c r="B17" s="2">
        <f>IF(J_WEEKDAY(CalendarYear&amp;"/04/01")=B$4,1,
IF(J_WEEKDAY(CalendarYear&amp;"/04/01")&lt;B$4,A17+1,
RIGHT(J_ADDDAY(CalendarYear&amp;"/04/"&amp;C17,-1),2)*1))</f>
        <v>31</v>
      </c>
      <c r="C17" s="2">
        <f>IF(J_WEEKDAY(CalendarYear&amp;"/04/01")=C$4,1,
IF(J_WEEKDAY(CalendarYear&amp;"/04/01")&lt;C$4,B17+1,
RIGHT(J_ADDDAY(CalendarYear&amp;"/04/"&amp;D17,-1),2)*1))</f>
        <v>1</v>
      </c>
      <c r="D17" s="2">
        <f>IF(J_WEEKDAY(CalendarYear&amp;"/04/01")=D$4,1,
IF(J_WEEKDAY(CalendarYear&amp;"/04/01")&lt;D$4,C17+1,
RIGHT(J_ADDDAY(CalendarYear&amp;"/04/"&amp;E17,-1),2)*1))</f>
        <v>2</v>
      </c>
      <c r="E17" s="2">
        <f>IF(J_WEEKDAY(CalendarYear&amp;"/04/01")=E$4,1,
IF(J_WEEKDAY(CalendarYear&amp;"/04/01")&lt;E$4,D17+1,
RIGHT(J_ADDDAY(CalendarYear&amp;"/04/"&amp;F17,-1),2)*1))</f>
        <v>3</v>
      </c>
      <c r="F17" s="2">
        <f>IF(J_WEEKDAY(CalendarYear&amp;"/04/01")=F$4,1,
IF(J_WEEKDAY(CalendarYear&amp;"/04/01")&lt;F$4,E17+1,
RIGHT(J_ADDDAY(CalendarYear&amp;"/04/"&amp;G17,-1),2)*1))</f>
        <v>4</v>
      </c>
      <c r="G17" s="2">
        <f>IF(J_WEEKDAY(CalendarYear&amp;"/04/01")=G$4,1,
IF(J_WEEKDAY(CalendarYear&amp;"/04/01")&lt;G$4,F17+1,
RIGHT(J_ADDDAY(CalendarYear&amp;"/04/"&amp;H17,-1),2)*1))</f>
        <v>5</v>
      </c>
      <c r="H17" s="2">
        <f>IF(J_WEEKDAY(CalendarYear&amp;"/04/01")=H$4,1,
IF(J_WEEKDAY(CalendarYear&amp;"/04/01")&lt;H$4,G17+1,
RIGHT(J_ADDDAY(CalendarYear&amp;"/04/"&amp;I17,-1),2)*1))</f>
        <v>6</v>
      </c>
      <c r="J17" s="2">
        <f>IF(J_WEEKDAY(CalendarYear&amp;"/05/01")=J$4,1,
IF(J_WEEKDAY(CalendarYear&amp;"/05/01")&lt;J$4,I17+1,
RIGHT(J_ADDDAY(CalendarYear&amp;"/05/"&amp;K17,-1),2)*1))</f>
        <v>28</v>
      </c>
      <c r="K17" s="2">
        <f>IF(J_WEEKDAY(CalendarYear&amp;"/05/01")=K$4,1,
IF(J_WEEKDAY(CalendarYear&amp;"/05/01")&lt;K$4,J17+1,
RIGHT(J_ADDDAY(CalendarYear&amp;"/05/"&amp;L17,-1),2)*1))</f>
        <v>29</v>
      </c>
      <c r="L17" s="2">
        <f>IF(J_WEEKDAY(CalendarYear&amp;"/05/01")=L$4,1,
IF(J_WEEKDAY(CalendarYear&amp;"/05/01")&lt;L$4,K17+1,
RIGHT(J_ADDDAY(CalendarYear&amp;"/05/"&amp;M17,-1),2)*1))</f>
        <v>30</v>
      </c>
      <c r="M17" s="2">
        <f>IF(J_WEEKDAY(CalendarYear&amp;"/05/01")=M$4,1,
IF(J_WEEKDAY(CalendarYear&amp;"/05/01")&lt;M$4,L17+1,
RIGHT(J_ADDDAY(CalendarYear&amp;"/05/"&amp;N17,-1),2)*1))</f>
        <v>31</v>
      </c>
      <c r="N17" s="2">
        <f>IF(J_WEEKDAY(CalendarYear&amp;"/05/01")=N$4,1,
IF(J_WEEKDAY(CalendarYear&amp;"/05/01")&lt;N$4,M17+1,
RIGHT(J_ADDDAY(CalendarYear&amp;"/05/"&amp;O17,-1),2)*1))</f>
        <v>1</v>
      </c>
      <c r="O17" s="2">
        <f>IF(J_WEEKDAY(CalendarYear&amp;"/05/01")=O$4,1,
IF(J_WEEKDAY(CalendarYear&amp;"/05/01")&lt;O$4,N17+1,
RIGHT(J_ADDDAY(CalendarYear&amp;"/05/"&amp;P17,-1),2)*1))</f>
        <v>2</v>
      </c>
      <c r="P17" s="2">
        <f>IF(J_WEEKDAY(CalendarYear&amp;"/05/01")=P$4,1,
IF(J_WEEKDAY(CalendarYear&amp;"/05/01")&lt;P$4,O17+1,
RIGHT(J_ADDDAY(CalendarYear&amp;"/05/"&amp;Q17,-1),2)*1))</f>
        <v>3</v>
      </c>
      <c r="R17" s="2">
        <f>IF(J_WEEKDAY(CalendarYear&amp;"/06/01")=R$4,1,
IF(J_WEEKDAY(CalendarYear&amp;"/06/01")&lt;R$4,Q17+1,
RIGHT(J_ADDDAY(CalendarYear&amp;"/06/"&amp;S17,-1),2)*1))</f>
        <v>1</v>
      </c>
      <c r="S17" s="2">
        <f>IF(J_WEEKDAY(CalendarYear&amp;"/06/01")=S$4,1,
IF(J_WEEKDAY(CalendarYear&amp;"/06/01")&lt;S$4,R17+1,
RIGHT(J_ADDDAY(CalendarYear&amp;"/06/"&amp;T17,-1),2)*1))</f>
        <v>2</v>
      </c>
      <c r="T17" s="2">
        <f>IF(J_WEEKDAY(CalendarYear&amp;"/06/01")=T$4,1,
IF(J_WEEKDAY(CalendarYear&amp;"/06/01")&lt;T$4,S17+1,
RIGHT(J_ADDDAY(CalendarYear&amp;"/06/"&amp;U17,-1),2)*1))</f>
        <v>3</v>
      </c>
      <c r="U17" s="2">
        <f>IF(J_WEEKDAY(CalendarYear&amp;"/06/01")=U$4,1,
IF(J_WEEKDAY(CalendarYear&amp;"/06/01")&lt;U$4,T17+1,
RIGHT(J_ADDDAY(CalendarYear&amp;"/06/"&amp;V17,-1),2)*1))</f>
        <v>4</v>
      </c>
      <c r="V17" s="2">
        <f>IF(J_WEEKDAY(CalendarYear&amp;"/06/01")=V$4,1,
IF(J_WEEKDAY(CalendarYear&amp;"/06/01")&lt;V$4,U17+1,
RIGHT(J_ADDDAY(CalendarYear&amp;"/06/"&amp;W17,-1),2)*1))</f>
        <v>5</v>
      </c>
      <c r="W17" s="2">
        <f>IF(J_WEEKDAY(CalendarYear&amp;"/06/01")=W$4,1,
IF(J_WEEKDAY(CalendarYear&amp;"/06/01")&lt;W$4,V17+1,
RIGHT(J_ADDDAY(CalendarYear&amp;"/06/"&amp;X17,-1),2)*1))</f>
        <v>6</v>
      </c>
      <c r="X17" s="2">
        <f>IF(J_WEEKDAY(CalendarYear&amp;"/06/01")=X$4,1,
IF(J_WEEKDAY(CalendarYear&amp;"/06/01")&lt;X$4,W17+1,
RIGHT(J_ADDDAY(CalendarYear&amp;"/06/"&amp;Y17,-1),2)*1))</f>
        <v>7</v>
      </c>
      <c r="Z17" s="2"/>
      <c r="AA17" s="2"/>
      <c r="AB17" s="2"/>
      <c r="AC17" s="2"/>
      <c r="AD17" s="2"/>
      <c r="AE17" s="2"/>
      <c r="AF17" s="2"/>
    </row>
    <row r="18" spans="2:32" ht="15.75" customHeight="1" x14ac:dyDescent="0.2">
      <c r="B18" s="6">
        <f>H17+1</f>
        <v>7</v>
      </c>
      <c r="C18" s="6">
        <f>B18+1</f>
        <v>8</v>
      </c>
      <c r="D18" s="6">
        <f t="shared" ref="D18:H18" si="12">C18+1</f>
        <v>9</v>
      </c>
      <c r="E18" s="6">
        <f t="shared" si="12"/>
        <v>10</v>
      </c>
      <c r="F18" s="6">
        <f t="shared" si="12"/>
        <v>11</v>
      </c>
      <c r="G18" s="6">
        <f t="shared" si="12"/>
        <v>12</v>
      </c>
      <c r="H18" s="6">
        <f t="shared" si="12"/>
        <v>13</v>
      </c>
      <c r="J18" s="6">
        <f>P17+1</f>
        <v>4</v>
      </c>
      <c r="K18" s="6">
        <f>J18+1</f>
        <v>5</v>
      </c>
      <c r="L18" s="6">
        <f t="shared" ref="L18:P18" si="13">K18+1</f>
        <v>6</v>
      </c>
      <c r="M18" s="6">
        <f t="shared" si="13"/>
        <v>7</v>
      </c>
      <c r="N18" s="6">
        <f t="shared" si="13"/>
        <v>8</v>
      </c>
      <c r="O18" s="6">
        <f t="shared" si="13"/>
        <v>9</v>
      </c>
      <c r="P18" s="6">
        <f t="shared" si="13"/>
        <v>10</v>
      </c>
      <c r="R18" s="6">
        <f>X17+1</f>
        <v>8</v>
      </c>
      <c r="S18" s="6">
        <f>R18+1</f>
        <v>9</v>
      </c>
      <c r="T18" s="6">
        <f t="shared" ref="T18:X18" si="14">S18+1</f>
        <v>10</v>
      </c>
      <c r="U18" s="6">
        <f t="shared" si="14"/>
        <v>11</v>
      </c>
      <c r="V18" s="6">
        <f t="shared" si="14"/>
        <v>12</v>
      </c>
      <c r="W18" s="6">
        <f t="shared" si="14"/>
        <v>13</v>
      </c>
      <c r="X18" s="6">
        <f t="shared" si="14"/>
        <v>14</v>
      </c>
      <c r="Z18" s="2"/>
      <c r="AA18" s="2"/>
      <c r="AB18" s="2"/>
      <c r="AC18" s="2"/>
      <c r="AD18" s="2"/>
      <c r="AE18" s="2"/>
      <c r="AF18" s="2"/>
    </row>
    <row r="19" spans="2:32" ht="15.75" customHeight="1" x14ac:dyDescent="0.2">
      <c r="B19" s="6">
        <f>H18+1</f>
        <v>14</v>
      </c>
      <c r="C19" s="6">
        <f>B19+1</f>
        <v>15</v>
      </c>
      <c r="D19" s="6">
        <f t="shared" ref="D19:H19" si="15">C19+1</f>
        <v>16</v>
      </c>
      <c r="E19" s="6">
        <f t="shared" si="15"/>
        <v>17</v>
      </c>
      <c r="F19" s="6">
        <f t="shared" si="15"/>
        <v>18</v>
      </c>
      <c r="G19" s="6">
        <f t="shared" si="15"/>
        <v>19</v>
      </c>
      <c r="H19" s="6">
        <f t="shared" si="15"/>
        <v>20</v>
      </c>
      <c r="J19" s="6">
        <f>P18+1</f>
        <v>11</v>
      </c>
      <c r="K19" s="6">
        <f>J19+1</f>
        <v>12</v>
      </c>
      <c r="L19" s="6">
        <f t="shared" ref="L19:P19" si="16">K19+1</f>
        <v>13</v>
      </c>
      <c r="M19" s="6">
        <f t="shared" si="16"/>
        <v>14</v>
      </c>
      <c r="N19" s="6">
        <f t="shared" si="16"/>
        <v>15</v>
      </c>
      <c r="O19" s="6">
        <f t="shared" si="16"/>
        <v>16</v>
      </c>
      <c r="P19" s="6">
        <f t="shared" si="16"/>
        <v>17</v>
      </c>
      <c r="R19" s="6">
        <f>X18+1</f>
        <v>15</v>
      </c>
      <c r="S19" s="6">
        <f>R19+1</f>
        <v>16</v>
      </c>
      <c r="T19" s="6">
        <f t="shared" ref="T19:X19" si="17">S19+1</f>
        <v>17</v>
      </c>
      <c r="U19" s="6">
        <f t="shared" si="17"/>
        <v>18</v>
      </c>
      <c r="V19" s="6">
        <f t="shared" si="17"/>
        <v>19</v>
      </c>
      <c r="W19" s="6">
        <f t="shared" si="17"/>
        <v>20</v>
      </c>
      <c r="X19" s="6">
        <f t="shared" si="17"/>
        <v>21</v>
      </c>
      <c r="Z19" s="2"/>
      <c r="AA19" s="2"/>
      <c r="AB19" s="2"/>
      <c r="AC19" s="2"/>
      <c r="AD19" s="2"/>
      <c r="AE19" s="2"/>
      <c r="AF19" s="2"/>
    </row>
    <row r="20" spans="2:32" ht="15.75" customHeight="1" x14ac:dyDescent="0.2">
      <c r="B20" s="6">
        <f>H19+1</f>
        <v>21</v>
      </c>
      <c r="C20" s="6">
        <f>B20+1</f>
        <v>22</v>
      </c>
      <c r="D20" s="6">
        <f t="shared" ref="D20:H20" si="18">C20+1</f>
        <v>23</v>
      </c>
      <c r="E20" s="6">
        <f t="shared" si="18"/>
        <v>24</v>
      </c>
      <c r="F20" s="6">
        <f t="shared" si="18"/>
        <v>25</v>
      </c>
      <c r="G20" s="6">
        <f t="shared" si="18"/>
        <v>26</v>
      </c>
      <c r="H20" s="6">
        <f t="shared" si="18"/>
        <v>27</v>
      </c>
      <c r="J20" s="6">
        <f>P19+1</f>
        <v>18</v>
      </c>
      <c r="K20" s="6">
        <f>J20+1</f>
        <v>19</v>
      </c>
      <c r="L20" s="6">
        <f t="shared" ref="L20:P20" si="19">K20+1</f>
        <v>20</v>
      </c>
      <c r="M20" s="6">
        <f t="shared" si="19"/>
        <v>21</v>
      </c>
      <c r="N20" s="6">
        <f t="shared" si="19"/>
        <v>22</v>
      </c>
      <c r="O20" s="6">
        <f t="shared" si="19"/>
        <v>23</v>
      </c>
      <c r="P20" s="6">
        <f t="shared" si="19"/>
        <v>24</v>
      </c>
      <c r="R20" s="6">
        <f>X19+1</f>
        <v>22</v>
      </c>
      <c r="S20" s="6">
        <f>R20+1</f>
        <v>23</v>
      </c>
      <c r="T20" s="6">
        <f t="shared" ref="T20:X20" si="20">S20+1</f>
        <v>24</v>
      </c>
      <c r="U20" s="6">
        <f t="shared" si="20"/>
        <v>25</v>
      </c>
      <c r="V20" s="6">
        <f t="shared" si="20"/>
        <v>26</v>
      </c>
      <c r="W20" s="6">
        <f t="shared" si="20"/>
        <v>27</v>
      </c>
      <c r="X20" s="6">
        <f t="shared" si="20"/>
        <v>28</v>
      </c>
      <c r="Z20" s="2"/>
      <c r="AA20" s="2"/>
      <c r="AB20" s="2"/>
      <c r="AC20" s="2"/>
      <c r="AD20" s="2"/>
      <c r="AE20" s="2"/>
      <c r="AF20" s="2"/>
    </row>
    <row r="21" spans="2:32" ht="15.75" customHeight="1" x14ac:dyDescent="0.2">
      <c r="B21" s="2">
        <f>RIGHT(J_ADDDAY(CalendarYear&amp;"/04/"&amp;H20,1),2)*1</f>
        <v>28</v>
      </c>
      <c r="C21" s="2">
        <f>RIGHT(J_ADDDAY(CalendarYear&amp;"/04/"&amp;B21,1),2)*1</f>
        <v>29</v>
      </c>
      <c r="D21" s="2">
        <f>RIGHT(J_ADDDAY(CalendarYear&amp;"/04/"&amp;C21,1),2)*1</f>
        <v>30</v>
      </c>
      <c r="E21" s="2">
        <f>RIGHT(J_ADDDAY(CalendarYear&amp;"/04/"&amp;D21,1),2)*1</f>
        <v>31</v>
      </c>
      <c r="F21" s="2">
        <f>RIGHT(J_ADDDAY(CalendarYear&amp;"/04/"&amp;E21,1),2)*1</f>
        <v>1</v>
      </c>
      <c r="G21" s="2">
        <f>RIGHT(J_ADDDAY(CalendarYear&amp;"/04/"&amp;F21,1),2)*1</f>
        <v>2</v>
      </c>
      <c r="H21" s="2">
        <f>RIGHT(J_ADDDAY(CalendarYear&amp;"/04/"&amp;G21,1),2)*1</f>
        <v>3</v>
      </c>
      <c r="J21" s="2">
        <f>RIGHT(J_ADDDAY(CalendarYear&amp;"/05/"&amp;P20,1),2)*1</f>
        <v>25</v>
      </c>
      <c r="K21" s="2">
        <f>RIGHT(J_ADDDAY(CalendarYear&amp;"/05/"&amp;J21,1),2)*1</f>
        <v>26</v>
      </c>
      <c r="L21" s="2">
        <f>RIGHT(J_ADDDAY(CalendarYear&amp;"/05/"&amp;K21,1),2)*1</f>
        <v>27</v>
      </c>
      <c r="M21" s="2">
        <f>RIGHT(J_ADDDAY(CalendarYear&amp;"/05/"&amp;L21,1),2)*1</f>
        <v>28</v>
      </c>
      <c r="N21" s="2">
        <f>RIGHT(J_ADDDAY(CalendarYear&amp;"/05/"&amp;M21,1),2)*1</f>
        <v>29</v>
      </c>
      <c r="O21" s="2">
        <f>RIGHT(J_ADDDAY(CalendarYear&amp;"/05/"&amp;N21,1),2)*1</f>
        <v>30</v>
      </c>
      <c r="P21" s="2">
        <f>RIGHT(J_ADDDAY(CalendarYear&amp;"/05/"&amp;O21,1),2)*1</f>
        <v>31</v>
      </c>
      <c r="R21" s="2">
        <f>RIGHT(J_ADDDAY(CalendarYear&amp;"/06/"&amp;X20,1),2)*1</f>
        <v>29</v>
      </c>
      <c r="S21" s="2">
        <f>RIGHT(J_ADDDAY(CalendarYear&amp;"/06/"&amp;R21,1),2)*1</f>
        <v>30</v>
      </c>
      <c r="T21" s="2">
        <f>RIGHT(J_ADDDAY(CalendarYear&amp;"/06/"&amp;S21,1),2)*1</f>
        <v>31</v>
      </c>
      <c r="U21" s="2">
        <f>RIGHT(J_ADDDAY(CalendarYear&amp;"/06/"&amp;T21,1),2)*1</f>
        <v>1</v>
      </c>
      <c r="V21" s="2">
        <f>RIGHT(J_ADDDAY(CalendarYear&amp;"/06/"&amp;U21,1),2)*1</f>
        <v>2</v>
      </c>
      <c r="W21" s="2">
        <f>RIGHT(J_ADDDAY(CalendarYear&amp;"/06/"&amp;V21,1),2)*1</f>
        <v>3</v>
      </c>
      <c r="X21" s="2">
        <f>RIGHT(J_ADDDAY(CalendarYear&amp;"/06/"&amp;W21,1),2)*1</f>
        <v>4</v>
      </c>
      <c r="Z21" s="2"/>
      <c r="AA21" s="2"/>
      <c r="AB21" s="2"/>
      <c r="AC21" s="2"/>
      <c r="AD21" s="2"/>
      <c r="AE21" s="2"/>
      <c r="AF21" s="2"/>
    </row>
    <row r="22" spans="2:32" ht="15.75" customHeight="1" x14ac:dyDescent="0.2">
      <c r="B22" s="2">
        <f>RIGHT(J_ADDDAY(CalendarYear&amp;"/04/"&amp;H21,1),2)*1</f>
        <v>4</v>
      </c>
      <c r="C22" s="2">
        <f>RIGHT(J_ADDDAY(CalendarYear&amp;"/04/"&amp;B22,1),2)*1</f>
        <v>5</v>
      </c>
      <c r="D22" s="2">
        <f>RIGHT(J_ADDDAY(CalendarYear&amp;"/04/"&amp;C22,1),2)*1</f>
        <v>6</v>
      </c>
      <c r="E22" s="2">
        <f>RIGHT(J_ADDDAY(CalendarYear&amp;"/04/"&amp;D22,1),2)*1</f>
        <v>7</v>
      </c>
      <c r="F22" s="2">
        <f>RIGHT(J_ADDDAY(CalendarYear&amp;"/04/"&amp;E22,1),2)*1</f>
        <v>8</v>
      </c>
      <c r="G22" s="2">
        <f>RIGHT(J_ADDDAY(CalendarYear&amp;"/04/"&amp;F22,1),2)*1</f>
        <v>9</v>
      </c>
      <c r="H22" s="2">
        <f>RIGHT(J_ADDDAY(CalendarYear&amp;"/04/"&amp;G22,1),2)*1</f>
        <v>10</v>
      </c>
      <c r="J22" s="2">
        <f>RIGHT(J_ADDDAY(CalendarYear&amp;"/05/"&amp;P21,1),2)*1</f>
        <v>1</v>
      </c>
      <c r="K22" s="2">
        <f>RIGHT(J_ADDDAY(CalendarYear&amp;"/05/"&amp;J22,1),2)*1</f>
        <v>2</v>
      </c>
      <c r="L22" s="2">
        <f>RIGHT(J_ADDDAY(CalendarYear&amp;"/05/"&amp;K22,1),2)*1</f>
        <v>3</v>
      </c>
      <c r="M22" s="2">
        <f>RIGHT(J_ADDDAY(CalendarYear&amp;"/05/"&amp;L22,1),2)*1</f>
        <v>4</v>
      </c>
      <c r="N22" s="2">
        <f>RIGHT(J_ADDDAY(CalendarYear&amp;"/05/"&amp;M22,1),2)*1</f>
        <v>5</v>
      </c>
      <c r="O22" s="2">
        <f>RIGHT(J_ADDDAY(CalendarYear&amp;"/05/"&amp;N22,1),2)*1</f>
        <v>6</v>
      </c>
      <c r="P22" s="2">
        <f>RIGHT(J_ADDDAY(CalendarYear&amp;"/05/"&amp;O22,1),2)*1</f>
        <v>7</v>
      </c>
      <c r="R22" s="2">
        <f>RIGHT(J_ADDDAY(CalendarYear&amp;"/06/"&amp;X21,1),2)*1</f>
        <v>5</v>
      </c>
      <c r="S22" s="2">
        <f>RIGHT(J_ADDDAY(CalendarYear&amp;"/06/"&amp;R22,1),2)*1</f>
        <v>6</v>
      </c>
      <c r="T22" s="2">
        <f>RIGHT(J_ADDDAY(CalendarYear&amp;"/06/"&amp;S22,1),2)*1</f>
        <v>7</v>
      </c>
      <c r="U22" s="2">
        <f>RIGHT(J_ADDDAY(CalendarYear&amp;"/06/"&amp;T22,1),2)*1</f>
        <v>8</v>
      </c>
      <c r="V22" s="2">
        <f>RIGHT(J_ADDDAY(CalendarYear&amp;"/06/"&amp;U22,1),2)*1</f>
        <v>9</v>
      </c>
      <c r="W22" s="2">
        <f>RIGHT(J_ADDDAY(CalendarYear&amp;"/06/"&amp;V22,1),2)*1</f>
        <v>10</v>
      </c>
      <c r="X22" s="2">
        <f>RIGHT(J_ADDDAY(CalendarYear&amp;"/06/"&amp;W22,1),2)*1</f>
        <v>11</v>
      </c>
      <c r="Z22" s="2"/>
      <c r="AA22" s="2"/>
      <c r="AB22" s="2"/>
      <c r="AC22" s="2"/>
      <c r="AD22" s="2"/>
      <c r="AE22" s="2"/>
      <c r="AF22" s="2"/>
    </row>
    <row r="24" spans="2:32" ht="23.25" x14ac:dyDescent="0.2">
      <c r="B24" s="15" t="s">
        <v>13</v>
      </c>
      <c r="C24" s="15"/>
      <c r="D24" s="15"/>
      <c r="E24" s="15"/>
      <c r="F24" s="15"/>
      <c r="J24" s="15" t="s">
        <v>14</v>
      </c>
      <c r="K24" s="15"/>
      <c r="L24" s="15"/>
      <c r="M24" s="15"/>
      <c r="N24" s="15"/>
      <c r="R24" s="15" t="s">
        <v>15</v>
      </c>
      <c r="S24" s="15"/>
      <c r="T24" s="15"/>
      <c r="U24" s="15"/>
      <c r="V24" s="15"/>
      <c r="Z24" s="15"/>
      <c r="AA24" s="15"/>
      <c r="AB24" s="15"/>
      <c r="AC24" s="15"/>
      <c r="AD24" s="15"/>
    </row>
    <row r="25" spans="2:32" s="1" customFormat="1" ht="15.75" customHeight="1" x14ac:dyDescent="0.2">
      <c r="B25" s="4" t="str">
        <f t="shared" ref="B25:H25" si="21">B7</f>
        <v>ش</v>
      </c>
      <c r="C25" s="4" t="str">
        <f t="shared" si="21"/>
        <v>ی</v>
      </c>
      <c r="D25" s="4" t="str">
        <f t="shared" si="21"/>
        <v>د</v>
      </c>
      <c r="E25" s="4" t="str">
        <f t="shared" si="21"/>
        <v>س</v>
      </c>
      <c r="F25" s="4" t="str">
        <f t="shared" si="21"/>
        <v>چ</v>
      </c>
      <c r="G25" s="4" t="str">
        <f t="shared" si="21"/>
        <v>پ</v>
      </c>
      <c r="H25" s="4" t="str">
        <f t="shared" si="21"/>
        <v>ج</v>
      </c>
      <c r="J25" s="4" t="str">
        <f t="shared" ref="J25:P25" si="22">B7</f>
        <v>ش</v>
      </c>
      <c r="K25" s="4" t="str">
        <f t="shared" si="22"/>
        <v>ی</v>
      </c>
      <c r="L25" s="4" t="str">
        <f t="shared" si="22"/>
        <v>د</v>
      </c>
      <c r="M25" s="4" t="str">
        <f t="shared" si="22"/>
        <v>س</v>
      </c>
      <c r="N25" s="4" t="str">
        <f t="shared" si="22"/>
        <v>چ</v>
      </c>
      <c r="O25" s="4" t="str">
        <f t="shared" si="22"/>
        <v>پ</v>
      </c>
      <c r="P25" s="4" t="str">
        <f t="shared" si="22"/>
        <v>ج</v>
      </c>
      <c r="R25" s="4" t="str">
        <f t="shared" ref="R25:X25" si="23">B7</f>
        <v>ش</v>
      </c>
      <c r="S25" s="4" t="str">
        <f t="shared" si="23"/>
        <v>ی</v>
      </c>
      <c r="T25" s="4" t="str">
        <f t="shared" si="23"/>
        <v>د</v>
      </c>
      <c r="U25" s="4" t="str">
        <f t="shared" si="23"/>
        <v>س</v>
      </c>
      <c r="V25" s="4" t="str">
        <f t="shared" si="23"/>
        <v>چ</v>
      </c>
      <c r="W25" s="4" t="str">
        <f t="shared" si="23"/>
        <v>پ</v>
      </c>
      <c r="X25" s="4" t="str">
        <f t="shared" si="23"/>
        <v>ج</v>
      </c>
      <c r="Z25" s="4"/>
      <c r="AA25" s="4"/>
      <c r="AB25" s="4"/>
      <c r="AC25" s="4"/>
      <c r="AD25" s="4"/>
      <c r="AE25" s="4"/>
      <c r="AF25" s="4"/>
    </row>
    <row r="26" spans="2:32" ht="15.75" customHeight="1" x14ac:dyDescent="0.2">
      <c r="B26" s="2">
        <f>IF(J_WEEKDAY(CalendarYear&amp;"/07/01")=B$4,1,
IF(J_WEEKDAY(CalendarYear&amp;"/07/01")&lt;B$4,A26+1,
RIGHT(J_ADDDAY(CalendarYear&amp;"/07/"&amp;C26,-1),2)*1))</f>
        <v>29</v>
      </c>
      <c r="C26" s="2">
        <f>IF(J_WEEKDAY(CalendarYear&amp;"/07/01")=C$4,1,
IF(J_WEEKDAY(CalendarYear&amp;"/07/01")&lt;C$4,B26+1,
RIGHT(J_ADDDAY(CalendarYear&amp;"/07/"&amp;D26,-1),2)*1))</f>
        <v>30</v>
      </c>
      <c r="D26" s="2">
        <f>IF(J_WEEKDAY(CalendarYear&amp;"/07/01")=D$4,1,
IF(J_WEEKDAY(CalendarYear&amp;"/07/01")&lt;D$4,C26+1,
RIGHT(J_ADDDAY(CalendarYear&amp;"/07/"&amp;E26,-1),2)*1))</f>
        <v>31</v>
      </c>
      <c r="E26" s="2">
        <f>IF(J_WEEKDAY(CalendarYear&amp;"/07/01")=E$4,1,
IF(J_WEEKDAY(CalendarYear&amp;"/07/01")&lt;E$4,D26+1,
RIGHT(J_ADDDAY(CalendarYear&amp;"/07/"&amp;F26,-1),2)*1))</f>
        <v>1</v>
      </c>
      <c r="F26" s="2">
        <f>IF(J_WEEKDAY(CalendarYear&amp;"/07/01")=F$4,1,
IF(J_WEEKDAY(CalendarYear&amp;"/07/01")&lt;F$4,E26+1,
RIGHT(J_ADDDAY(CalendarYear&amp;"/07/"&amp;G26,-1),2)*1))</f>
        <v>2</v>
      </c>
      <c r="G26" s="2">
        <f>IF(J_WEEKDAY(CalendarYear&amp;"/07/01")=G$4,1,
IF(J_WEEKDAY(CalendarYear&amp;"/07/01")&lt;G$4,F26+1,
RIGHT(J_ADDDAY(CalendarYear&amp;"/07/"&amp;H26,-1),2)*1))</f>
        <v>3</v>
      </c>
      <c r="H26" s="2">
        <f>IF(J_WEEKDAY(CalendarYear&amp;"/07/01")=H$4,1,
IF(J_WEEKDAY(CalendarYear&amp;"/07/01")&lt;H$4,G26+1,
RIGHT(J_ADDDAY(CalendarYear&amp;"/07/"&amp;I26,-1),2)*1))</f>
        <v>4</v>
      </c>
      <c r="J26" s="2">
        <f>IF(J_WEEKDAY(CalendarYear&amp;"/08/01")=J$4,1,
IF(J_WEEKDAY(CalendarYear&amp;"/08/01")&lt;J$4,I26+1,
RIGHT(J_ADDDAY(CalendarYear&amp;"/08/"&amp;K26,-1),2)*1))</f>
        <v>26</v>
      </c>
      <c r="K26" s="2">
        <f>IF(J_WEEKDAY(CalendarYear&amp;"/08/01")=K$4,1,
IF(J_WEEKDAY(CalendarYear&amp;"/08/01")&lt;K$4,J26+1,
RIGHT(J_ADDDAY(CalendarYear&amp;"/08/"&amp;L26,-1),2)*1))</f>
        <v>27</v>
      </c>
      <c r="L26" s="2">
        <f>IF(J_WEEKDAY(CalendarYear&amp;"/08/01")=L$4,1,
IF(J_WEEKDAY(CalendarYear&amp;"/08/01")&lt;L$4,K26+1,
RIGHT(J_ADDDAY(CalendarYear&amp;"/08/"&amp;M26,-1),2)*1))</f>
        <v>28</v>
      </c>
      <c r="M26" s="2">
        <f>IF(J_WEEKDAY(CalendarYear&amp;"/08/01")=M$4,1,
IF(J_WEEKDAY(CalendarYear&amp;"/08/01")&lt;M$4,L26+1,
RIGHT(J_ADDDAY(CalendarYear&amp;"/08/"&amp;N26,-1),2)*1))</f>
        <v>29</v>
      </c>
      <c r="N26" s="2">
        <f>IF(J_WEEKDAY(CalendarYear&amp;"/08/01")=N$4,1,
IF(J_WEEKDAY(CalendarYear&amp;"/08/01")&lt;N$4,M26+1,
RIGHT(J_ADDDAY(CalendarYear&amp;"/08/"&amp;O26,-1),2)*1))</f>
        <v>30</v>
      </c>
      <c r="O26" s="2">
        <f>IF(J_WEEKDAY(CalendarYear&amp;"/08/01")=O$4,1,
IF(J_WEEKDAY(CalendarYear&amp;"/08/01")&lt;O$4,N26+1,
RIGHT(J_ADDDAY(CalendarYear&amp;"/08/"&amp;P26,-1),2)*1))</f>
        <v>1</v>
      </c>
      <c r="P26" s="2">
        <f>IF(J_WEEKDAY(CalendarYear&amp;"/08/01")=P$4,1,
IF(J_WEEKDAY(CalendarYear&amp;"/08/01")&lt;P$4,O26+1,
RIGHT(J_ADDDAY(CalendarYear&amp;"/08/"&amp;Q26,-1),2)*1))</f>
        <v>2</v>
      </c>
      <c r="R26" s="2">
        <f>IF(J_WEEKDAY(CalendarYear&amp;"/09/01")=R$4,1,
IF(J_WEEKDAY(CalendarYear&amp;"/09/01")&lt;R$4,Q26+1,
RIGHT(J_ADDDAY(CalendarYear&amp;"/09/"&amp;S26,-1),2)*1))</f>
        <v>1</v>
      </c>
      <c r="S26" s="2">
        <f>IF(J_WEEKDAY(CalendarYear&amp;"/09/01")=S$4,1,
IF(J_WEEKDAY(CalendarYear&amp;"/09/01")&lt;S$4,R26+1,
RIGHT(J_ADDDAY(CalendarYear&amp;"/09/"&amp;T26,-1),2)*1))</f>
        <v>2</v>
      </c>
      <c r="T26" s="2">
        <f>IF(J_WEEKDAY(CalendarYear&amp;"/09/01")=T$4,1,
IF(J_WEEKDAY(CalendarYear&amp;"/09/01")&lt;T$4,S26+1,
RIGHT(J_ADDDAY(CalendarYear&amp;"/09/"&amp;U26,-1),2)*1))</f>
        <v>3</v>
      </c>
      <c r="U26" s="2">
        <f>IF(J_WEEKDAY(CalendarYear&amp;"/09/01")=U$4,1,
IF(J_WEEKDAY(CalendarYear&amp;"/09/01")&lt;U$4,T26+1,
RIGHT(J_ADDDAY(CalendarYear&amp;"/09/"&amp;V26,-1),2)*1))</f>
        <v>4</v>
      </c>
      <c r="V26" s="2">
        <f>IF(J_WEEKDAY(CalendarYear&amp;"/09/01")=V$4,1,
IF(J_WEEKDAY(CalendarYear&amp;"/09/01")&lt;V$4,U26+1,
RIGHT(J_ADDDAY(CalendarYear&amp;"/09/"&amp;W26,-1),2)*1))</f>
        <v>5</v>
      </c>
      <c r="W26" s="2">
        <f>IF(J_WEEKDAY(CalendarYear&amp;"/09/01")=W$4,1,
IF(J_WEEKDAY(CalendarYear&amp;"/09/01")&lt;W$4,V26+1,
RIGHT(J_ADDDAY(CalendarYear&amp;"/09/"&amp;X26,-1),2)*1))</f>
        <v>6</v>
      </c>
      <c r="X26" s="2">
        <f>IF(J_WEEKDAY(CalendarYear&amp;"/09/01")=X$4,1,
IF(J_WEEKDAY(CalendarYear&amp;"/09/01")&lt;X$4,W26+1,
RIGHT(J_ADDDAY(CalendarYear&amp;"/09/"&amp;Y26,-1),2)*1))</f>
        <v>7</v>
      </c>
      <c r="Z26" s="2"/>
      <c r="AA26" s="2"/>
      <c r="AB26" s="2"/>
      <c r="AC26" s="2"/>
      <c r="AD26" s="2"/>
      <c r="AE26" s="2"/>
      <c r="AF26" s="2"/>
    </row>
    <row r="27" spans="2:32" ht="15.75" customHeight="1" x14ac:dyDescent="0.2">
      <c r="B27" s="6">
        <f>H26+1</f>
        <v>5</v>
      </c>
      <c r="C27" s="6">
        <f>B27+1</f>
        <v>6</v>
      </c>
      <c r="D27" s="6">
        <f t="shared" ref="D27:H27" si="24">C27+1</f>
        <v>7</v>
      </c>
      <c r="E27" s="6">
        <f t="shared" si="24"/>
        <v>8</v>
      </c>
      <c r="F27" s="6">
        <f t="shared" si="24"/>
        <v>9</v>
      </c>
      <c r="G27" s="6">
        <f t="shared" si="24"/>
        <v>10</v>
      </c>
      <c r="H27" s="6">
        <f t="shared" si="24"/>
        <v>11</v>
      </c>
      <c r="J27" s="6">
        <f>P26+1</f>
        <v>3</v>
      </c>
      <c r="K27" s="6">
        <f>J27+1</f>
        <v>4</v>
      </c>
      <c r="L27" s="6">
        <f t="shared" ref="L27:P27" si="25">K27+1</f>
        <v>5</v>
      </c>
      <c r="M27" s="6">
        <f t="shared" si="25"/>
        <v>6</v>
      </c>
      <c r="N27" s="6">
        <f t="shared" si="25"/>
        <v>7</v>
      </c>
      <c r="O27" s="6">
        <f t="shared" si="25"/>
        <v>8</v>
      </c>
      <c r="P27" s="6">
        <f t="shared" si="25"/>
        <v>9</v>
      </c>
      <c r="R27" s="6">
        <f>X26+1</f>
        <v>8</v>
      </c>
      <c r="S27" s="6">
        <f>R27+1</f>
        <v>9</v>
      </c>
      <c r="T27" s="6">
        <f t="shared" ref="T27:X27" si="26">S27+1</f>
        <v>10</v>
      </c>
      <c r="U27" s="6">
        <f t="shared" si="26"/>
        <v>11</v>
      </c>
      <c r="V27" s="6">
        <f t="shared" si="26"/>
        <v>12</v>
      </c>
      <c r="W27" s="6">
        <f t="shared" si="26"/>
        <v>13</v>
      </c>
      <c r="X27" s="6">
        <f t="shared" si="26"/>
        <v>14</v>
      </c>
      <c r="Z27" s="2"/>
      <c r="AA27" s="2"/>
      <c r="AB27" s="2"/>
      <c r="AC27" s="2"/>
      <c r="AD27" s="2"/>
      <c r="AE27" s="2"/>
      <c r="AF27" s="2"/>
    </row>
    <row r="28" spans="2:32" ht="15.75" customHeight="1" x14ac:dyDescent="0.2">
      <c r="B28" s="6">
        <f>H27+1</f>
        <v>12</v>
      </c>
      <c r="C28" s="6">
        <f>B28+1</f>
        <v>13</v>
      </c>
      <c r="D28" s="6">
        <f t="shared" ref="D28:H28" si="27">C28+1</f>
        <v>14</v>
      </c>
      <c r="E28" s="6">
        <f t="shared" si="27"/>
        <v>15</v>
      </c>
      <c r="F28" s="6">
        <f t="shared" si="27"/>
        <v>16</v>
      </c>
      <c r="G28" s="6">
        <f t="shared" si="27"/>
        <v>17</v>
      </c>
      <c r="H28" s="6">
        <f t="shared" si="27"/>
        <v>18</v>
      </c>
      <c r="J28" s="6">
        <f>P27+1</f>
        <v>10</v>
      </c>
      <c r="K28" s="6">
        <f>J28+1</f>
        <v>11</v>
      </c>
      <c r="L28" s="6">
        <f t="shared" ref="L28:P28" si="28">K28+1</f>
        <v>12</v>
      </c>
      <c r="M28" s="6">
        <f t="shared" si="28"/>
        <v>13</v>
      </c>
      <c r="N28" s="6">
        <f t="shared" si="28"/>
        <v>14</v>
      </c>
      <c r="O28" s="6">
        <f t="shared" si="28"/>
        <v>15</v>
      </c>
      <c r="P28" s="6">
        <f t="shared" si="28"/>
        <v>16</v>
      </c>
      <c r="R28" s="6">
        <f>X27+1</f>
        <v>15</v>
      </c>
      <c r="S28" s="6">
        <f>R28+1</f>
        <v>16</v>
      </c>
      <c r="T28" s="6">
        <f t="shared" ref="T28:X28" si="29">S28+1</f>
        <v>17</v>
      </c>
      <c r="U28" s="6">
        <f t="shared" si="29"/>
        <v>18</v>
      </c>
      <c r="V28" s="6">
        <f t="shared" si="29"/>
        <v>19</v>
      </c>
      <c r="W28" s="6">
        <f t="shared" si="29"/>
        <v>20</v>
      </c>
      <c r="X28" s="6">
        <f t="shared" si="29"/>
        <v>21</v>
      </c>
      <c r="Z28" s="2"/>
      <c r="AA28" s="2"/>
      <c r="AB28" s="2"/>
      <c r="AC28" s="2"/>
      <c r="AD28" s="2"/>
      <c r="AE28" s="2"/>
      <c r="AF28" s="2"/>
    </row>
    <row r="29" spans="2:32" ht="15.75" customHeight="1" x14ac:dyDescent="0.2">
      <c r="B29" s="6">
        <f>H28+1</f>
        <v>19</v>
      </c>
      <c r="C29" s="6">
        <f>B29+1</f>
        <v>20</v>
      </c>
      <c r="D29" s="6">
        <f t="shared" ref="D29:H29" si="30">C29+1</f>
        <v>21</v>
      </c>
      <c r="E29" s="6">
        <f t="shared" si="30"/>
        <v>22</v>
      </c>
      <c r="F29" s="6">
        <f t="shared" si="30"/>
        <v>23</v>
      </c>
      <c r="G29" s="6">
        <f t="shared" si="30"/>
        <v>24</v>
      </c>
      <c r="H29" s="6">
        <f t="shared" si="30"/>
        <v>25</v>
      </c>
      <c r="J29" s="6">
        <f>P28+1</f>
        <v>17</v>
      </c>
      <c r="K29" s="6">
        <f>J29+1</f>
        <v>18</v>
      </c>
      <c r="L29" s="6">
        <f t="shared" ref="L29:P29" si="31">K29+1</f>
        <v>19</v>
      </c>
      <c r="M29" s="6">
        <f t="shared" si="31"/>
        <v>20</v>
      </c>
      <c r="N29" s="6">
        <f t="shared" si="31"/>
        <v>21</v>
      </c>
      <c r="O29" s="6">
        <f t="shared" si="31"/>
        <v>22</v>
      </c>
      <c r="P29" s="6">
        <f t="shared" si="31"/>
        <v>23</v>
      </c>
      <c r="R29" s="6">
        <f>X28+1</f>
        <v>22</v>
      </c>
      <c r="S29" s="6">
        <f>R29+1</f>
        <v>23</v>
      </c>
      <c r="T29" s="6">
        <f t="shared" ref="T29:X29" si="32">S29+1</f>
        <v>24</v>
      </c>
      <c r="U29" s="6">
        <f t="shared" si="32"/>
        <v>25</v>
      </c>
      <c r="V29" s="6">
        <f t="shared" si="32"/>
        <v>26</v>
      </c>
      <c r="W29" s="6">
        <f t="shared" si="32"/>
        <v>27</v>
      </c>
      <c r="X29" s="6">
        <f t="shared" si="32"/>
        <v>28</v>
      </c>
      <c r="Z29" s="2"/>
      <c r="AA29" s="2"/>
      <c r="AB29" s="2"/>
      <c r="AC29" s="2"/>
      <c r="AD29" s="2"/>
      <c r="AE29" s="2"/>
      <c r="AF29" s="2"/>
    </row>
    <row r="30" spans="2:32" ht="15.75" customHeight="1" x14ac:dyDescent="0.2">
      <c r="B30" s="2">
        <f>RIGHT(J_ADDDAY(CalendarYear&amp;"/07/"&amp;H29,1),2)*1</f>
        <v>26</v>
      </c>
      <c r="C30" s="2">
        <f>RIGHT(J_ADDDAY(CalendarYear&amp;"/07/"&amp;B30,1),2)*1</f>
        <v>27</v>
      </c>
      <c r="D30" s="2">
        <f>RIGHT(J_ADDDAY(CalendarYear&amp;"/07/"&amp;C30,1),2)*1</f>
        <v>28</v>
      </c>
      <c r="E30" s="2">
        <f>RIGHT(J_ADDDAY(CalendarYear&amp;"/07/"&amp;D30,1),2)*1</f>
        <v>29</v>
      </c>
      <c r="F30" s="2">
        <f>RIGHT(J_ADDDAY(CalendarYear&amp;"/07/"&amp;E30,1),2)*1</f>
        <v>30</v>
      </c>
      <c r="G30" s="2">
        <f>RIGHT(J_ADDDAY(CalendarYear&amp;"/07/"&amp;F30,1),2)*1</f>
        <v>1</v>
      </c>
      <c r="H30" s="2">
        <f>RIGHT(J_ADDDAY(CalendarYear&amp;"/07/"&amp;G30,1),2)*1</f>
        <v>2</v>
      </c>
      <c r="J30" s="2">
        <f>RIGHT(J_ADDDAY(CalendarYear&amp;"/08/"&amp;P29,1),2)*1</f>
        <v>24</v>
      </c>
      <c r="K30" s="2">
        <f>RIGHT(J_ADDDAY(CalendarYear&amp;"/08/"&amp;J30,1),2)*1</f>
        <v>25</v>
      </c>
      <c r="L30" s="2">
        <f>RIGHT(J_ADDDAY(CalendarYear&amp;"/08/"&amp;K30,1),2)*1</f>
        <v>26</v>
      </c>
      <c r="M30" s="2">
        <f>RIGHT(J_ADDDAY(CalendarYear&amp;"/08/"&amp;L30,1),2)*1</f>
        <v>27</v>
      </c>
      <c r="N30" s="2">
        <f>RIGHT(J_ADDDAY(CalendarYear&amp;"/08/"&amp;M30,1),2)*1</f>
        <v>28</v>
      </c>
      <c r="O30" s="2">
        <f>RIGHT(J_ADDDAY(CalendarYear&amp;"/08/"&amp;N30,1),2)*1</f>
        <v>29</v>
      </c>
      <c r="P30" s="2">
        <f>RIGHT(J_ADDDAY(CalendarYear&amp;"/08/"&amp;O30,1),2)*1</f>
        <v>30</v>
      </c>
      <c r="R30" s="2">
        <f>RIGHT(J_ADDDAY(CalendarYear&amp;"/09/"&amp;X29,1),2)*1</f>
        <v>29</v>
      </c>
      <c r="S30" s="2">
        <f>RIGHT(J_ADDDAY(CalendarYear&amp;"/09/"&amp;R30,1),2)*1</f>
        <v>30</v>
      </c>
      <c r="T30" s="2">
        <f>RIGHT(J_ADDDAY(CalendarYear&amp;"/09/"&amp;S30,1),2)*1</f>
        <v>1</v>
      </c>
      <c r="U30" s="2">
        <f>RIGHT(J_ADDDAY(CalendarYear&amp;"/09/"&amp;T30,1),2)*1</f>
        <v>2</v>
      </c>
      <c r="V30" s="2">
        <f>RIGHT(J_ADDDAY(CalendarYear&amp;"/09/"&amp;U30,1),2)*1</f>
        <v>3</v>
      </c>
      <c r="W30" s="2">
        <f>RIGHT(J_ADDDAY(CalendarYear&amp;"/09/"&amp;V30,1),2)*1</f>
        <v>4</v>
      </c>
      <c r="X30" s="2">
        <f>RIGHT(J_ADDDAY(CalendarYear&amp;"/09/"&amp;W30,1),2)*1</f>
        <v>5</v>
      </c>
      <c r="Z30" s="2"/>
      <c r="AA30" s="2"/>
      <c r="AB30" s="2"/>
      <c r="AC30" s="2"/>
      <c r="AD30" s="2"/>
      <c r="AE30" s="2"/>
      <c r="AF30" s="2"/>
    </row>
    <row r="31" spans="2:32" ht="15.75" customHeight="1" x14ac:dyDescent="0.2">
      <c r="B31" s="2">
        <f>RIGHT(J_ADDDAY(CalendarYear&amp;"/07/"&amp;H30,1),2)*1</f>
        <v>3</v>
      </c>
      <c r="C31" s="2">
        <f>RIGHT(J_ADDDAY(CalendarYear&amp;"/07/"&amp;B31,1),2)*1</f>
        <v>4</v>
      </c>
      <c r="D31" s="2">
        <f>RIGHT(J_ADDDAY(CalendarYear&amp;"/07/"&amp;C31,1),2)*1</f>
        <v>5</v>
      </c>
      <c r="E31" s="2">
        <f>RIGHT(J_ADDDAY(CalendarYear&amp;"/07/"&amp;D31,1),2)*1</f>
        <v>6</v>
      </c>
      <c r="F31" s="2">
        <f>RIGHT(J_ADDDAY(CalendarYear&amp;"/07/"&amp;E31,1),2)*1</f>
        <v>7</v>
      </c>
      <c r="G31" s="2">
        <f>RIGHT(J_ADDDAY(CalendarYear&amp;"/07/"&amp;F31,1),2)*1</f>
        <v>8</v>
      </c>
      <c r="H31" s="2">
        <f>RIGHT(J_ADDDAY(CalendarYear&amp;"/07/"&amp;G31,1),2)*1</f>
        <v>9</v>
      </c>
      <c r="J31" s="2">
        <f>RIGHT(J_ADDDAY(CalendarYear&amp;"/08/"&amp;P30,1),2)*1</f>
        <v>1</v>
      </c>
      <c r="K31" s="2">
        <f>RIGHT(J_ADDDAY(CalendarYear&amp;"/08/"&amp;J31,1),2)*1</f>
        <v>2</v>
      </c>
      <c r="L31" s="2">
        <f>RIGHT(J_ADDDAY(CalendarYear&amp;"/08/"&amp;K31,1),2)*1</f>
        <v>3</v>
      </c>
      <c r="M31" s="2">
        <f>RIGHT(J_ADDDAY(CalendarYear&amp;"/08/"&amp;L31,1),2)*1</f>
        <v>4</v>
      </c>
      <c r="N31" s="2">
        <f>RIGHT(J_ADDDAY(CalendarYear&amp;"/08/"&amp;M31,1),2)*1</f>
        <v>5</v>
      </c>
      <c r="O31" s="2">
        <f>RIGHT(J_ADDDAY(CalendarYear&amp;"/08/"&amp;N31,1),2)*1</f>
        <v>6</v>
      </c>
      <c r="P31" s="2">
        <f>RIGHT(J_ADDDAY(CalendarYear&amp;"/08/"&amp;O31,1),2)*1</f>
        <v>7</v>
      </c>
      <c r="R31" s="2">
        <f>RIGHT(J_ADDDAY(CalendarYear&amp;"/09/"&amp;X30,1),2)*1</f>
        <v>6</v>
      </c>
      <c r="S31" s="2">
        <f>RIGHT(J_ADDDAY(CalendarYear&amp;"/09/"&amp;R31,1),2)*1</f>
        <v>7</v>
      </c>
      <c r="T31" s="2">
        <f>RIGHT(J_ADDDAY(CalendarYear&amp;"/09/"&amp;S31,1),2)*1</f>
        <v>8</v>
      </c>
      <c r="U31" s="2">
        <f>RIGHT(J_ADDDAY(CalendarYear&amp;"/09/"&amp;T31,1),2)*1</f>
        <v>9</v>
      </c>
      <c r="V31" s="2">
        <f>RIGHT(J_ADDDAY(CalendarYear&amp;"/09/"&amp;U31,1),2)*1</f>
        <v>10</v>
      </c>
      <c r="W31" s="2">
        <f>RIGHT(J_ADDDAY(CalendarYear&amp;"/09/"&amp;V31,1),2)*1</f>
        <v>11</v>
      </c>
      <c r="X31" s="2">
        <f>RIGHT(J_ADDDAY(CalendarYear&amp;"/09/"&amp;W31,1),2)*1</f>
        <v>12</v>
      </c>
      <c r="Z31" s="2"/>
      <c r="AA31" s="2"/>
      <c r="AB31" s="2"/>
      <c r="AC31" s="2"/>
      <c r="AD31" s="2"/>
      <c r="AE31" s="2"/>
      <c r="AF31" s="2"/>
    </row>
    <row r="33" spans="2:32" ht="23.25" x14ac:dyDescent="0.2">
      <c r="B33" s="15" t="s">
        <v>16</v>
      </c>
      <c r="C33" s="15"/>
      <c r="D33" s="15"/>
      <c r="E33" s="15"/>
      <c r="F33" s="15"/>
      <c r="J33" s="15" t="s">
        <v>17</v>
      </c>
      <c r="K33" s="15"/>
      <c r="L33" s="15"/>
      <c r="M33" s="15"/>
      <c r="N33" s="15"/>
      <c r="R33" s="15" t="s">
        <v>18</v>
      </c>
      <c r="S33" s="15"/>
      <c r="T33" s="15"/>
      <c r="U33" s="15"/>
      <c r="V33" s="15"/>
      <c r="Z33" s="15"/>
      <c r="AA33" s="15"/>
      <c r="AB33" s="15"/>
      <c r="AC33" s="15"/>
      <c r="AD33" s="15"/>
    </row>
    <row r="34" spans="2:32" s="1" customFormat="1" ht="15.75" customHeight="1" x14ac:dyDescent="0.2">
      <c r="B34" s="4" t="str">
        <f t="shared" ref="B34:H34" si="33">B25</f>
        <v>ش</v>
      </c>
      <c r="C34" s="4" t="str">
        <f t="shared" si="33"/>
        <v>ی</v>
      </c>
      <c r="D34" s="4" t="str">
        <f t="shared" si="33"/>
        <v>د</v>
      </c>
      <c r="E34" s="4" t="str">
        <f t="shared" si="33"/>
        <v>س</v>
      </c>
      <c r="F34" s="4" t="str">
        <f t="shared" si="33"/>
        <v>چ</v>
      </c>
      <c r="G34" s="4" t="str">
        <f t="shared" si="33"/>
        <v>پ</v>
      </c>
      <c r="H34" s="4" t="str">
        <f t="shared" si="33"/>
        <v>ج</v>
      </c>
      <c r="J34" s="4" t="str">
        <f t="shared" ref="J34" si="34">B25</f>
        <v>ش</v>
      </c>
      <c r="K34" s="4" t="str">
        <f t="shared" ref="K34" si="35">C25</f>
        <v>ی</v>
      </c>
      <c r="L34" s="4" t="str">
        <f t="shared" ref="L34" si="36">D25</f>
        <v>د</v>
      </c>
      <c r="M34" s="4" t="str">
        <f t="shared" ref="M34" si="37">E25</f>
        <v>س</v>
      </c>
      <c r="N34" s="4" t="str">
        <f t="shared" ref="N34" si="38">F25</f>
        <v>چ</v>
      </c>
      <c r="O34" s="4" t="str">
        <f t="shared" ref="O34" si="39">G25</f>
        <v>پ</v>
      </c>
      <c r="P34" s="4" t="str">
        <f t="shared" ref="P34" si="40">H25</f>
        <v>ج</v>
      </c>
      <c r="R34" s="4" t="str">
        <f t="shared" ref="R34" si="41">B25</f>
        <v>ش</v>
      </c>
      <c r="S34" s="4" t="str">
        <f t="shared" ref="S34" si="42">C25</f>
        <v>ی</v>
      </c>
      <c r="T34" s="4" t="str">
        <f t="shared" ref="T34" si="43">D25</f>
        <v>د</v>
      </c>
      <c r="U34" s="4" t="str">
        <f t="shared" ref="U34" si="44">E25</f>
        <v>س</v>
      </c>
      <c r="V34" s="4" t="str">
        <f t="shared" ref="V34" si="45">F25</f>
        <v>چ</v>
      </c>
      <c r="W34" s="4" t="str">
        <f t="shared" ref="W34" si="46">G25</f>
        <v>پ</v>
      </c>
      <c r="X34" s="4" t="str">
        <f t="shared" ref="X34" si="47">H25</f>
        <v>ج</v>
      </c>
      <c r="Z34" s="4"/>
      <c r="AA34" s="4"/>
      <c r="AB34" s="4"/>
      <c r="AC34" s="4"/>
      <c r="AD34" s="4"/>
      <c r="AE34" s="4"/>
      <c r="AF34" s="4"/>
    </row>
    <row r="35" spans="2:32" ht="15.75" customHeight="1" x14ac:dyDescent="0.2">
      <c r="B35" s="2">
        <f>IF(J_WEEKDAY(CalendarYear&amp;"/10/01")=B$4,1,
IF(J_WEEKDAY(CalendarYear&amp;"/10/01")&lt;B$4,A35+1,
RIGHT(J_ADDDAY(CalendarYear&amp;"/10/"&amp;C35,-1),2)*1))</f>
        <v>29</v>
      </c>
      <c r="C35" s="2">
        <f>IF(J_WEEKDAY(CalendarYear&amp;"/10/01")=C$4,1,
IF(J_WEEKDAY(CalendarYear&amp;"/10/01")&lt;C$4,B35+1,
RIGHT(J_ADDDAY(CalendarYear&amp;"/10/"&amp;D35,-1),2)*1))</f>
        <v>30</v>
      </c>
      <c r="D35" s="2">
        <f>IF(J_WEEKDAY(CalendarYear&amp;"/10/01")=D$4,1,
IF(J_WEEKDAY(CalendarYear&amp;"/10/01")&lt;D$4,C35+1,
RIGHT(J_ADDDAY(CalendarYear&amp;"/10/"&amp;E35,-1),2)*1))</f>
        <v>1</v>
      </c>
      <c r="E35" s="2">
        <f>IF(J_WEEKDAY(CalendarYear&amp;"/10/01")=E$4,1,
IF(J_WEEKDAY(CalendarYear&amp;"/10/01")&lt;E$4,D35+1,
RIGHT(J_ADDDAY(CalendarYear&amp;"/10/"&amp;F35,-1),2)*1))</f>
        <v>2</v>
      </c>
      <c r="F35" s="2">
        <f>IF(J_WEEKDAY(CalendarYear&amp;"/10/01")=F$4,1,
IF(J_WEEKDAY(CalendarYear&amp;"/10/01")&lt;F$4,E35+1,
RIGHT(J_ADDDAY(CalendarYear&amp;"/10/"&amp;G35,-1),2)*1))</f>
        <v>3</v>
      </c>
      <c r="G35" s="2">
        <f>IF(J_WEEKDAY(CalendarYear&amp;"/10/01")=G$4,1,
IF(J_WEEKDAY(CalendarYear&amp;"/10/01")&lt;G$4,F35+1,
RIGHT(J_ADDDAY(CalendarYear&amp;"/10/"&amp;H35,-1),2)*1))</f>
        <v>4</v>
      </c>
      <c r="H35" s="2">
        <f>IF(J_WEEKDAY(CalendarYear&amp;"/10/01")=H$4,1,
IF(J_WEEKDAY(CalendarYear&amp;"/10/01")&lt;H$4,G35+1,
RIGHT(J_ADDDAY(CalendarYear&amp;"/10/"&amp;I35,-1),2)*1))</f>
        <v>5</v>
      </c>
      <c r="J35" s="2">
        <f>IF(J_WEEKDAY(CalendarYear&amp;"/11/01")=J$4,1,
IF(J_WEEKDAY(CalendarYear&amp;"/11/01")&lt;J$4,I35+1,
RIGHT(J_ADDDAY(CalendarYear&amp;"/11/"&amp;K35,-1),2)*1))</f>
        <v>27</v>
      </c>
      <c r="K35" s="2">
        <f>IF(J_WEEKDAY(CalendarYear&amp;"/11/01")=K$4,1,
IF(J_WEEKDAY(CalendarYear&amp;"/11/01")&lt;K$4,J35+1,
RIGHT(J_ADDDAY(CalendarYear&amp;"/11/"&amp;L35,-1),2)*1))</f>
        <v>28</v>
      </c>
      <c r="L35" s="2">
        <f>IF(J_WEEKDAY(CalendarYear&amp;"/11/01")=L$4,1,
IF(J_WEEKDAY(CalendarYear&amp;"/11/01")&lt;L$4,K35+1,
RIGHT(J_ADDDAY(CalendarYear&amp;"/11/"&amp;M35,-1),2)*1))</f>
        <v>29</v>
      </c>
      <c r="M35" s="2">
        <f>IF(J_WEEKDAY(CalendarYear&amp;"/11/01")=M$4,1,
IF(J_WEEKDAY(CalendarYear&amp;"/11/01")&lt;M$4,L35+1,
RIGHT(J_ADDDAY(CalendarYear&amp;"/11/"&amp;N35,-1),2)*1))</f>
        <v>30</v>
      </c>
      <c r="N35" s="2">
        <f>IF(J_WEEKDAY(CalendarYear&amp;"/11/01")=N$4,1,
IF(J_WEEKDAY(CalendarYear&amp;"/11/01")&lt;N$4,M35+1,
RIGHT(J_ADDDAY(CalendarYear&amp;"/11/"&amp;O35,-1),2)*1))</f>
        <v>1</v>
      </c>
      <c r="O35" s="2">
        <f>IF(J_WEEKDAY(CalendarYear&amp;"/11/01")=O$4,1,
IF(J_WEEKDAY(CalendarYear&amp;"/11/01")&lt;O$4,N35+1,
RIGHT(J_ADDDAY(CalendarYear&amp;"/11/"&amp;P35,-1),2)*1))</f>
        <v>2</v>
      </c>
      <c r="P35" s="2">
        <f>IF(J_WEEKDAY(CalendarYear&amp;"/11/01")=P$4,1,
IF(J_WEEKDAY(CalendarYear&amp;"/11/01")&lt;P$4,O35+1,
RIGHT(J_ADDDAY(CalendarYear&amp;"/11/"&amp;Q35,-1),2)*1))</f>
        <v>3</v>
      </c>
      <c r="R35" s="2">
        <f>IF(J_WEEKDAY(CalendarYear&amp;"/12/01")=R$4,1,
IF(J_WEEKDAY(CalendarYear&amp;"/12/01")&lt;R$4,Q35+1,
RIGHT(J_ADDDAY(CalendarYear&amp;"/12/"&amp;S35,-1),2)*1))</f>
        <v>25</v>
      </c>
      <c r="S35" s="2">
        <f>IF(J_WEEKDAY(CalendarYear&amp;"/12/01")=S$4,1,
IF(J_WEEKDAY(CalendarYear&amp;"/12/01")&lt;S$4,R35+1,
RIGHT(J_ADDDAY(CalendarYear&amp;"/12/"&amp;T35,-1),2)*1))</f>
        <v>26</v>
      </c>
      <c r="T35" s="2">
        <f>IF(J_WEEKDAY(CalendarYear&amp;"/12/01")=T$4,1,
IF(J_WEEKDAY(CalendarYear&amp;"/12/01")&lt;T$4,S35+1,
RIGHT(J_ADDDAY(CalendarYear&amp;"/12/"&amp;U35,-1),2)*1))</f>
        <v>27</v>
      </c>
      <c r="U35" s="2">
        <f>IF(J_WEEKDAY(CalendarYear&amp;"/12/01")=U$4,1,
IF(J_WEEKDAY(CalendarYear&amp;"/12/01")&lt;U$4,T35+1,
RIGHT(J_ADDDAY(CalendarYear&amp;"/12/"&amp;V35,-1),2)*1))</f>
        <v>28</v>
      </c>
      <c r="V35" s="2">
        <f>IF(J_WEEKDAY(CalendarYear&amp;"/12/01")=V$4,1,
IF(J_WEEKDAY(CalendarYear&amp;"/12/01")&lt;V$4,U35+1,
RIGHT(J_ADDDAY(CalendarYear&amp;"/12/"&amp;W35,-1),2)*1))</f>
        <v>29</v>
      </c>
      <c r="W35" s="2">
        <f>IF(J_WEEKDAY(CalendarYear&amp;"/12/01")=W$4,1,
IF(J_WEEKDAY(CalendarYear&amp;"/12/01")&lt;W$4,V35+1,
RIGHT(J_ADDDAY(CalendarYear&amp;"/12/"&amp;X35,-1),2)*1))</f>
        <v>30</v>
      </c>
      <c r="X35" s="2">
        <f>IF(J_WEEKDAY(CalendarYear&amp;"/12/01")=X$4,1,
IF(J_WEEKDAY(CalendarYear&amp;"/12/01")&lt;X$4,W35+1,
RIGHT(J_ADDDAY(CalendarYear&amp;"/12/"&amp;Y35,-1),2)*1))</f>
        <v>1</v>
      </c>
      <c r="Z35" s="2"/>
      <c r="AA35" s="2"/>
      <c r="AB35" s="2"/>
      <c r="AC35" s="2"/>
      <c r="AD35" s="2"/>
      <c r="AE35" s="2"/>
      <c r="AF35" s="2"/>
    </row>
    <row r="36" spans="2:32" ht="15.75" customHeight="1" x14ac:dyDescent="0.2">
      <c r="B36" s="6">
        <f>H35+1</f>
        <v>6</v>
      </c>
      <c r="C36" s="6">
        <f>B36+1</f>
        <v>7</v>
      </c>
      <c r="D36" s="6">
        <f t="shared" ref="D36:H36" si="48">C36+1</f>
        <v>8</v>
      </c>
      <c r="E36" s="6">
        <f t="shared" si="48"/>
        <v>9</v>
      </c>
      <c r="F36" s="6">
        <f t="shared" si="48"/>
        <v>10</v>
      </c>
      <c r="G36" s="6">
        <f t="shared" si="48"/>
        <v>11</v>
      </c>
      <c r="H36" s="6">
        <f t="shared" si="48"/>
        <v>12</v>
      </c>
      <c r="J36" s="6">
        <f>P35+1</f>
        <v>4</v>
      </c>
      <c r="K36" s="6">
        <f>J36+1</f>
        <v>5</v>
      </c>
      <c r="L36" s="6">
        <f t="shared" ref="L36:P36" si="49">K36+1</f>
        <v>6</v>
      </c>
      <c r="M36" s="6">
        <f t="shared" si="49"/>
        <v>7</v>
      </c>
      <c r="N36" s="6">
        <f t="shared" si="49"/>
        <v>8</v>
      </c>
      <c r="O36" s="6">
        <f t="shared" si="49"/>
        <v>9</v>
      </c>
      <c r="P36" s="6">
        <f t="shared" si="49"/>
        <v>10</v>
      </c>
      <c r="R36" s="6">
        <f>X35+1</f>
        <v>2</v>
      </c>
      <c r="S36" s="6">
        <f>R36+1</f>
        <v>3</v>
      </c>
      <c r="T36" s="6">
        <f t="shared" ref="T36:X36" si="50">S36+1</f>
        <v>4</v>
      </c>
      <c r="U36" s="6">
        <f t="shared" si="50"/>
        <v>5</v>
      </c>
      <c r="V36" s="6">
        <f t="shared" si="50"/>
        <v>6</v>
      </c>
      <c r="W36" s="6">
        <f t="shared" si="50"/>
        <v>7</v>
      </c>
      <c r="X36" s="6">
        <f t="shared" si="50"/>
        <v>8</v>
      </c>
      <c r="Z36" s="2"/>
      <c r="AA36" s="2"/>
      <c r="AB36" s="2"/>
      <c r="AC36" s="2"/>
      <c r="AD36" s="2"/>
      <c r="AE36" s="2"/>
      <c r="AF36" s="2"/>
    </row>
    <row r="37" spans="2:32" ht="15.75" customHeight="1" x14ac:dyDescent="0.2">
      <c r="B37" s="6">
        <f>H36+1</f>
        <v>13</v>
      </c>
      <c r="C37" s="6">
        <f>B37+1</f>
        <v>14</v>
      </c>
      <c r="D37" s="6">
        <f t="shared" ref="D37:H37" si="51">C37+1</f>
        <v>15</v>
      </c>
      <c r="E37" s="6">
        <f t="shared" si="51"/>
        <v>16</v>
      </c>
      <c r="F37" s="6">
        <f t="shared" si="51"/>
        <v>17</v>
      </c>
      <c r="G37" s="6">
        <f t="shared" si="51"/>
        <v>18</v>
      </c>
      <c r="H37" s="6">
        <f t="shared" si="51"/>
        <v>19</v>
      </c>
      <c r="J37" s="6">
        <f>P36+1</f>
        <v>11</v>
      </c>
      <c r="K37" s="6">
        <f>J37+1</f>
        <v>12</v>
      </c>
      <c r="L37" s="6">
        <f t="shared" ref="L37:P37" si="52">K37+1</f>
        <v>13</v>
      </c>
      <c r="M37" s="6">
        <f t="shared" si="52"/>
        <v>14</v>
      </c>
      <c r="N37" s="6">
        <f t="shared" si="52"/>
        <v>15</v>
      </c>
      <c r="O37" s="6">
        <f t="shared" si="52"/>
        <v>16</v>
      </c>
      <c r="P37" s="6">
        <f t="shared" si="52"/>
        <v>17</v>
      </c>
      <c r="R37" s="6">
        <f>X36+1</f>
        <v>9</v>
      </c>
      <c r="S37" s="6">
        <f>R37+1</f>
        <v>10</v>
      </c>
      <c r="T37" s="6">
        <f t="shared" ref="T37:X37" si="53">S37+1</f>
        <v>11</v>
      </c>
      <c r="U37" s="6">
        <f t="shared" si="53"/>
        <v>12</v>
      </c>
      <c r="V37" s="6">
        <f t="shared" si="53"/>
        <v>13</v>
      </c>
      <c r="W37" s="6">
        <f t="shared" si="53"/>
        <v>14</v>
      </c>
      <c r="X37" s="6">
        <f t="shared" si="53"/>
        <v>15</v>
      </c>
      <c r="Z37" s="2"/>
      <c r="AA37" s="2"/>
      <c r="AB37" s="2"/>
      <c r="AC37" s="2"/>
      <c r="AD37" s="2"/>
      <c r="AE37" s="2"/>
      <c r="AF37" s="2"/>
    </row>
    <row r="38" spans="2:32" ht="15.75" customHeight="1" x14ac:dyDescent="0.2">
      <c r="B38" s="6">
        <f>H37+1</f>
        <v>20</v>
      </c>
      <c r="C38" s="6">
        <f>B38+1</f>
        <v>21</v>
      </c>
      <c r="D38" s="6">
        <f t="shared" ref="D38:H38" si="54">C38+1</f>
        <v>22</v>
      </c>
      <c r="E38" s="6">
        <f t="shared" si="54"/>
        <v>23</v>
      </c>
      <c r="F38" s="6">
        <f t="shared" si="54"/>
        <v>24</v>
      </c>
      <c r="G38" s="6">
        <f t="shared" si="54"/>
        <v>25</v>
      </c>
      <c r="H38" s="6">
        <f t="shared" si="54"/>
        <v>26</v>
      </c>
      <c r="J38" s="6">
        <f>P37+1</f>
        <v>18</v>
      </c>
      <c r="K38" s="6">
        <f>J38+1</f>
        <v>19</v>
      </c>
      <c r="L38" s="6">
        <f t="shared" ref="L38:P38" si="55">K38+1</f>
        <v>20</v>
      </c>
      <c r="M38" s="6">
        <f t="shared" si="55"/>
        <v>21</v>
      </c>
      <c r="N38" s="6">
        <f t="shared" si="55"/>
        <v>22</v>
      </c>
      <c r="O38" s="6">
        <f t="shared" si="55"/>
        <v>23</v>
      </c>
      <c r="P38" s="6">
        <f t="shared" si="55"/>
        <v>24</v>
      </c>
      <c r="R38" s="6">
        <f>X37+1</f>
        <v>16</v>
      </c>
      <c r="S38" s="6">
        <f>R38+1</f>
        <v>17</v>
      </c>
      <c r="T38" s="6">
        <f t="shared" ref="T38:X38" si="56">S38+1</f>
        <v>18</v>
      </c>
      <c r="U38" s="6">
        <f t="shared" si="56"/>
        <v>19</v>
      </c>
      <c r="V38" s="6">
        <f t="shared" si="56"/>
        <v>20</v>
      </c>
      <c r="W38" s="6">
        <f t="shared" si="56"/>
        <v>21</v>
      </c>
      <c r="X38" s="6">
        <f t="shared" si="56"/>
        <v>22</v>
      </c>
      <c r="Z38" s="2"/>
      <c r="AA38" s="2"/>
      <c r="AB38" s="2"/>
      <c r="AC38" s="2"/>
      <c r="AD38" s="2"/>
      <c r="AE38" s="2"/>
      <c r="AF38" s="2"/>
    </row>
    <row r="39" spans="2:32" ht="15.75" customHeight="1" x14ac:dyDescent="0.2">
      <c r="B39" s="2">
        <f>RIGHT(J_ADDDAY(CalendarYear&amp;"/10/"&amp;H38,1),2)*1</f>
        <v>27</v>
      </c>
      <c r="C39" s="2">
        <f>RIGHT(J_ADDDAY(CalendarYear&amp;"/10/"&amp;B39,1),2)*1</f>
        <v>28</v>
      </c>
      <c r="D39" s="2">
        <f>RIGHT(J_ADDDAY(CalendarYear&amp;"/10/"&amp;C39,1),2)*1</f>
        <v>29</v>
      </c>
      <c r="E39" s="2">
        <f>RIGHT(J_ADDDAY(CalendarYear&amp;"/10/"&amp;D39,1),2)*1</f>
        <v>30</v>
      </c>
      <c r="F39" s="2">
        <f>RIGHT(J_ADDDAY(CalendarYear&amp;"/10/"&amp;E39,1),2)*1</f>
        <v>1</v>
      </c>
      <c r="G39" s="2">
        <f>RIGHT(J_ADDDAY(CalendarYear&amp;"/10/"&amp;F39,1),2)*1</f>
        <v>2</v>
      </c>
      <c r="H39" s="2">
        <f>RIGHT(J_ADDDAY(CalendarYear&amp;"/10/"&amp;G39,1),2)*1</f>
        <v>3</v>
      </c>
      <c r="J39" s="2">
        <f>RIGHT(J_ADDDAY(CalendarYear&amp;"/11/"&amp;P38,1),2)*1</f>
        <v>25</v>
      </c>
      <c r="K39" s="2">
        <f>RIGHT(J_ADDDAY(CalendarYear&amp;"/11/"&amp;J39,1),2)*1</f>
        <v>26</v>
      </c>
      <c r="L39" s="2">
        <f>RIGHT(J_ADDDAY(CalendarYear&amp;"/11/"&amp;K39,1),2)*1</f>
        <v>27</v>
      </c>
      <c r="M39" s="2">
        <f>RIGHT(J_ADDDAY(CalendarYear&amp;"/11/"&amp;L39,1),2)*1</f>
        <v>28</v>
      </c>
      <c r="N39" s="2">
        <f>RIGHT(J_ADDDAY(CalendarYear&amp;"/11/"&amp;M39,1),2)*1</f>
        <v>29</v>
      </c>
      <c r="O39" s="2">
        <f>RIGHT(J_ADDDAY(CalendarYear&amp;"/11/"&amp;N39,1),2)*1</f>
        <v>30</v>
      </c>
      <c r="P39" s="2">
        <f>RIGHT(J_ADDDAY(CalendarYear&amp;"/11/"&amp;O39,1),2)*1</f>
        <v>1</v>
      </c>
      <c r="R39" s="2">
        <f>RIGHT(J_ADDDAY(CalendarYear&amp;"/12/"&amp;X38,1),2)*1</f>
        <v>23</v>
      </c>
      <c r="S39" s="2">
        <f>RIGHT(J_ADDDAY(CalendarYear&amp;"/12/"&amp;R39,1),2)*1</f>
        <v>24</v>
      </c>
      <c r="T39" s="2">
        <f>RIGHT(J_ADDDAY(CalendarYear&amp;"/12/"&amp;S39,1),2)*1</f>
        <v>25</v>
      </c>
      <c r="U39" s="2">
        <f>RIGHT(J_ADDDAY(CalendarYear&amp;"/12/"&amp;T39,1),2)*1</f>
        <v>26</v>
      </c>
      <c r="V39" s="2">
        <f>RIGHT(J_ADDDAY(CalendarYear&amp;"/12/"&amp;U39,1),2)*1</f>
        <v>27</v>
      </c>
      <c r="W39" s="2">
        <f>RIGHT(J_ADDDAY(CalendarYear&amp;"/12/"&amp;V39,1),2)*1</f>
        <v>28</v>
      </c>
      <c r="X39" s="2">
        <f>RIGHT(J_ADDDAY(CalendarYear&amp;"/12/"&amp;W39,1),2)*1</f>
        <v>29</v>
      </c>
      <c r="Z39" s="2"/>
      <c r="AA39" s="2"/>
      <c r="AB39" s="2"/>
      <c r="AC39" s="2"/>
      <c r="AD39" s="2"/>
      <c r="AE39" s="2"/>
      <c r="AF39" s="2"/>
    </row>
    <row r="40" spans="2:32" ht="15.75" customHeight="1" x14ac:dyDescent="0.2">
      <c r="B40" s="2">
        <f>RIGHT(J_ADDDAY(CalendarYear&amp;"/10/"&amp;H39,1),2)*1</f>
        <v>4</v>
      </c>
      <c r="C40" s="2">
        <f>RIGHT(J_ADDDAY(CalendarYear&amp;"/10/"&amp;B40,1),2)*1</f>
        <v>5</v>
      </c>
      <c r="D40" s="2">
        <f>RIGHT(J_ADDDAY(CalendarYear&amp;"/10/"&amp;C40,1),2)*1</f>
        <v>6</v>
      </c>
      <c r="E40" s="2">
        <f>RIGHT(J_ADDDAY(CalendarYear&amp;"/10/"&amp;D40,1),2)*1</f>
        <v>7</v>
      </c>
      <c r="F40" s="2">
        <f>RIGHT(J_ADDDAY(CalendarYear&amp;"/10/"&amp;E40,1),2)*1</f>
        <v>8</v>
      </c>
      <c r="G40" s="2">
        <f>RIGHT(J_ADDDAY(CalendarYear&amp;"/10/"&amp;F40,1),2)*1</f>
        <v>9</v>
      </c>
      <c r="H40" s="2">
        <f>RIGHT(J_ADDDAY(CalendarYear&amp;"/10/"&amp;G40,1),2)*1</f>
        <v>10</v>
      </c>
      <c r="J40" s="2">
        <f>RIGHT(J_ADDDAY(CalendarYear&amp;"/11/"&amp;P39,1),2)*1</f>
        <v>2</v>
      </c>
      <c r="K40" s="2">
        <f>RIGHT(J_ADDDAY(CalendarYear&amp;"/11/"&amp;J40,1),2)*1</f>
        <v>3</v>
      </c>
      <c r="L40" s="2">
        <f>RIGHT(J_ADDDAY(CalendarYear&amp;"/11/"&amp;K40,1),2)*1</f>
        <v>4</v>
      </c>
      <c r="M40" s="2">
        <f>RIGHT(J_ADDDAY(CalendarYear&amp;"/11/"&amp;L40,1),2)*1</f>
        <v>5</v>
      </c>
      <c r="N40" s="2">
        <f>RIGHT(J_ADDDAY(CalendarYear&amp;"/11/"&amp;M40,1),2)*1</f>
        <v>6</v>
      </c>
      <c r="O40" s="2">
        <f>RIGHT(J_ADDDAY(CalendarYear&amp;"/11/"&amp;N40,1),2)*1</f>
        <v>7</v>
      </c>
      <c r="P40" s="2">
        <f>RIGHT(J_ADDDAY(CalendarYear&amp;"/11/"&amp;O40,1),2)*1</f>
        <v>8</v>
      </c>
      <c r="R40" s="2">
        <f>RIGHT(J_ADDDAY(CalendarYear&amp;"/12/"&amp;X39,1),2)*1</f>
        <v>1</v>
      </c>
      <c r="S40" s="2">
        <f>RIGHT(J_ADDDAY(CalendarYear&amp;"/12/"&amp;R40,1),2)*1</f>
        <v>2</v>
      </c>
      <c r="T40" s="2">
        <f>RIGHT(J_ADDDAY(CalendarYear&amp;"/12/"&amp;S40,1),2)*1</f>
        <v>3</v>
      </c>
      <c r="U40" s="2">
        <f>RIGHT(J_ADDDAY(CalendarYear&amp;"/12/"&amp;T40,1),2)*1</f>
        <v>4</v>
      </c>
      <c r="V40" s="2">
        <f>RIGHT(J_ADDDAY(CalendarYear&amp;"/12/"&amp;U40,1),2)*1</f>
        <v>5</v>
      </c>
      <c r="W40" s="2">
        <f>RIGHT(J_ADDDAY(CalendarYear&amp;"/12/"&amp;V40,1),2)*1</f>
        <v>6</v>
      </c>
      <c r="X40" s="2">
        <f>RIGHT(J_ADDDAY(CalendarYear&amp;"/12/"&amp;W40,1),2)*1</f>
        <v>7</v>
      </c>
      <c r="Z40" s="2"/>
      <c r="AA40" s="2"/>
      <c r="AB40" s="2"/>
      <c r="AC40" s="2"/>
      <c r="AD40" s="2"/>
      <c r="AE40" s="2"/>
      <c r="AF40" s="2"/>
    </row>
    <row r="43" spans="2:32" ht="12.75" x14ac:dyDescent="0.2"/>
    <row r="44" spans="2:32" s="1" customFormat="1" ht="15.75" customHeight="1" x14ac:dyDescent="0.2"/>
    <row r="46" spans="2:32" ht="15.75" customHeight="1" x14ac:dyDescent="0.2">
      <c r="V46" s="8"/>
      <c r="W46" s="8"/>
      <c r="X46" s="8" t="s">
        <v>29</v>
      </c>
      <c r="Y46" s="8"/>
      <c r="Z46" s="8" t="s">
        <v>28</v>
      </c>
      <c r="AA46" s="8"/>
      <c r="AB46" s="8"/>
      <c r="AC46" s="8"/>
    </row>
    <row r="47" spans="2:32" ht="15.75" customHeight="1" x14ac:dyDescent="0.2">
      <c r="V47" s="8"/>
      <c r="W47" s="8"/>
      <c r="X47" s="8" t="s">
        <v>30</v>
      </c>
      <c r="Y47" s="8"/>
      <c r="Z47" s="8" t="s">
        <v>31</v>
      </c>
      <c r="AA47" s="8"/>
      <c r="AB47" s="8"/>
      <c r="AC47" s="8"/>
    </row>
    <row r="48" spans="2:32" ht="15.75" customHeight="1" x14ac:dyDescent="0.2">
      <c r="V48" s="8"/>
      <c r="W48" s="8"/>
      <c r="X48" s="8" t="s">
        <v>32</v>
      </c>
      <c r="Y48" s="8"/>
      <c r="Z48" s="8" t="s">
        <v>33</v>
      </c>
      <c r="AA48" s="8"/>
      <c r="AB48" s="8"/>
      <c r="AC48" s="8"/>
    </row>
    <row r="49" spans="22:29" ht="15.75" customHeight="1" x14ac:dyDescent="0.2">
      <c r="V49" s="8"/>
      <c r="W49" s="8"/>
      <c r="X49" s="8"/>
      <c r="Y49" s="8"/>
      <c r="Z49" s="8"/>
      <c r="AA49" s="8"/>
      <c r="AB49" s="8"/>
      <c r="AC49" s="8" t="s">
        <v>35</v>
      </c>
    </row>
    <row r="50" spans="22:29" ht="15.75" customHeight="1" x14ac:dyDescent="0.2">
      <c r="AC50" s="8" t="s">
        <v>34</v>
      </c>
    </row>
  </sheetData>
  <mergeCells count="18">
    <mergeCell ref="AE1:AF1"/>
    <mergeCell ref="X3:AG3"/>
    <mergeCell ref="B6:F6"/>
    <mergeCell ref="J6:N6"/>
    <mergeCell ref="R6:V6"/>
    <mergeCell ref="Z6:AD6"/>
    <mergeCell ref="B33:F33"/>
    <mergeCell ref="J33:N33"/>
    <mergeCell ref="R33:V33"/>
    <mergeCell ref="Z33:AD33"/>
    <mergeCell ref="B15:F15"/>
    <mergeCell ref="J15:N15"/>
    <mergeCell ref="R15:V15"/>
    <mergeCell ref="Z15:AD15"/>
    <mergeCell ref="B24:F24"/>
    <mergeCell ref="J24:N24"/>
    <mergeCell ref="R24:V24"/>
    <mergeCell ref="Z24:AD24"/>
  </mergeCells>
  <conditionalFormatting sqref="B8:X8 B17:X17 B26:X26 B35:X35">
    <cfRule type="cellIs" dxfId="17" priority="2" stopIfTrue="1" operator="greaterThan">
      <formula>10</formula>
    </cfRule>
  </conditionalFormatting>
  <conditionalFormatting sqref="A12:XFD13 A21:XFD22 A30:XFD31 A39:XFD40">
    <cfRule type="cellIs" dxfId="16" priority="1" stopIfTrue="1" operator="lessThan">
      <formula>20</formula>
    </cfRule>
  </conditionalFormatting>
  <dataValidations disablePrompts="1" count="1">
    <dataValidation type="list" allowBlank="1" showInputMessage="1" showErrorMessage="1" errorTitle="Whoops!" error="For this calendar to work correctly you need to select a week day from the drop down or type one in cell AE1." sqref="AE1:AF1">
      <formula1>"SUNDAY,MONDAY"</formula1>
    </dataValidation>
  </dataValidations>
  <printOptions horizontalCentered="1" verticalCentered="1"/>
  <pageMargins left="0.25" right="0.25" top="0.4" bottom="0.4" header="0.3" footer="0.3"/>
  <pageSetup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pinner 1">
              <controlPr defaultSize="0" print="0" autoPict="0" altText="Year Spinner_x000a__x000a_Use the spinner to change the calendar year or type your desired year in cell Y3.">
                <anchor moveWithCells="1">
                  <from>
                    <xdr:col>32</xdr:col>
                    <xdr:colOff>28575</xdr:colOff>
                    <xdr:row>2</xdr:row>
                    <xdr:rowOff>685800</xdr:rowOff>
                  </from>
                  <to>
                    <xdr:col>32</xdr:col>
                    <xdr:colOff>171450</xdr:colOff>
                    <xdr:row>2</xdr:row>
                    <xdr:rowOff>914400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28</xdr:col>
                    <xdr:colOff>28575</xdr:colOff>
                    <xdr:row>0</xdr:row>
                    <xdr:rowOff>123825</xdr:rowOff>
                  </from>
                  <to>
                    <xdr:col>30</xdr:col>
                    <xdr:colOff>161925</xdr:colOff>
                    <xdr:row>1</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6C722125-9B56-444E-8507-0948D9B15BE8}">
            <xm:f>AND(ShowHoliday,COUNTIFS(Holiday!$A:$A,CalendarYear&amp;"/01/"&amp;  REPT("0",2-LEN(B8))&amp;B8)=1)</xm:f>
            <x14:dxf>
              <fill>
                <patternFill>
                  <bgColor theme="9" tint="0.39994506668294322"/>
                </patternFill>
              </fill>
            </x14:dxf>
          </x14:cfRule>
          <xm:sqref>B8:H13</xm:sqref>
        </x14:conditionalFormatting>
        <x14:conditionalFormatting xmlns:xm="http://schemas.microsoft.com/office/excel/2006/main">
          <x14:cfRule type="expression" priority="10" id="{732529B7-DB38-4C34-811A-1F075AA8F6F5}">
            <xm:f>AND(ShowHoliday,COUNTIFS(Holiday!$A:$A,CalendarYear&amp;"/02/"&amp;  REPT("0",2-LEN(J8))&amp;J8)=1)</xm:f>
            <x14:dxf>
              <fill>
                <patternFill>
                  <bgColor theme="9" tint="0.39994506668294322"/>
                </patternFill>
              </fill>
            </x14:dxf>
          </x14:cfRule>
          <xm:sqref>J8:P13</xm:sqref>
        </x14:conditionalFormatting>
        <x14:conditionalFormatting xmlns:xm="http://schemas.microsoft.com/office/excel/2006/main">
          <x14:cfRule type="expression" priority="11" id="{AC7188F5-A233-42DC-8E0B-C3D15B1A129E}">
            <xm:f>AND(ShowHoliday,COUNTIFS(Holiday!$A:$A,CalendarYear&amp;"/03/"&amp;  REPT("0",2-LEN(R8))&amp;R8)=1)</xm:f>
            <x14:dxf>
              <fill>
                <patternFill>
                  <bgColor theme="9" tint="0.39994506668294322"/>
                </patternFill>
              </fill>
            </x14:dxf>
          </x14:cfRule>
          <xm:sqref>R8:X13</xm:sqref>
        </x14:conditionalFormatting>
        <x14:conditionalFormatting xmlns:xm="http://schemas.microsoft.com/office/excel/2006/main">
          <x14:cfRule type="expression" priority="12" id="{B9847B7D-D5EC-4782-B7B8-7F7F9022D0EB}">
            <xm:f>AND(ShowHoliday,COUNTIFS(Holiday!$A:$A,CalendarYear&amp;"/04/"&amp;  REPT("0",2-LEN(B17))&amp;B17)=1)</xm:f>
            <x14:dxf>
              <fill>
                <patternFill>
                  <bgColor theme="9" tint="0.39994506668294322"/>
                </patternFill>
              </fill>
            </x14:dxf>
          </x14:cfRule>
          <xm:sqref>B17:H22</xm:sqref>
        </x14:conditionalFormatting>
        <x14:conditionalFormatting xmlns:xm="http://schemas.microsoft.com/office/excel/2006/main">
          <x14:cfRule type="expression" priority="13" id="{74BC7ED4-2B2E-4FA0-AE64-BAF5B0B09F47}">
            <xm:f>AND(ShowHoliday,COUNTIFS(Holiday!$A:$A,CalendarYear&amp;"/05/"&amp;  REPT("0",2-LEN(J17))&amp;J17)=1)</xm:f>
            <x14:dxf>
              <fill>
                <patternFill>
                  <bgColor theme="9" tint="0.39994506668294322"/>
                </patternFill>
              </fill>
            </x14:dxf>
          </x14:cfRule>
          <xm:sqref>J17:P22</xm:sqref>
        </x14:conditionalFormatting>
        <x14:conditionalFormatting xmlns:xm="http://schemas.microsoft.com/office/excel/2006/main">
          <x14:cfRule type="expression" priority="14" id="{7F868EEE-D88E-4698-B028-AF6D866D3EB3}">
            <xm:f>AND(ShowHoliday,COUNTIFS(Holiday!$A:$A,CalendarYear&amp;"/06/"&amp;  REPT("0",2-LEN(R17))&amp;R17)=1)</xm:f>
            <x14:dxf>
              <fill>
                <patternFill>
                  <bgColor theme="9" tint="0.39994506668294322"/>
                </patternFill>
              </fill>
            </x14:dxf>
          </x14:cfRule>
          <xm:sqref>R17:X22</xm:sqref>
        </x14:conditionalFormatting>
        <x14:conditionalFormatting xmlns:xm="http://schemas.microsoft.com/office/excel/2006/main">
          <x14:cfRule type="expression" priority="15" id="{DE9D27A5-E8E9-45F7-9017-189CC9BD072E}">
            <xm:f>AND(ShowHoliday,COUNTIFS(Holiday!$A:$A,CalendarYear&amp;"/07/"&amp;  REPT("0",2-LEN(B26))&amp;B26)=1)</xm:f>
            <x14:dxf>
              <fill>
                <patternFill>
                  <bgColor theme="9" tint="0.39994506668294322"/>
                </patternFill>
              </fill>
            </x14:dxf>
          </x14:cfRule>
          <xm:sqref>B26:H31</xm:sqref>
        </x14:conditionalFormatting>
        <x14:conditionalFormatting xmlns:xm="http://schemas.microsoft.com/office/excel/2006/main">
          <x14:cfRule type="expression" priority="8" id="{9946A423-92AF-4BB4-8F3E-347C77872459}">
            <xm:f>AND(ShowHoliday,COUNTIFS(Holiday!$A:$A,CalendarYear&amp;"/08/"&amp;  REPT("0",2-LEN(J26))&amp;J26)=1)</xm:f>
            <x14:dxf>
              <fill>
                <patternFill>
                  <bgColor theme="9" tint="0.39994506668294322"/>
                </patternFill>
              </fill>
            </x14:dxf>
          </x14:cfRule>
          <xm:sqref>J26:P31</xm:sqref>
        </x14:conditionalFormatting>
        <x14:conditionalFormatting xmlns:xm="http://schemas.microsoft.com/office/excel/2006/main">
          <x14:cfRule type="expression" priority="6" id="{83C93639-8285-4240-910E-709D57222990}">
            <xm:f>AND(ShowHoliday,COUNTIFS(Holiday!$A:$A,CalendarYear&amp;"/09/"&amp;  REPT("0",2-LEN(R26))&amp;R26)=1)</xm:f>
            <x14:dxf>
              <fill>
                <patternFill>
                  <bgColor theme="9" tint="0.39994506668294322"/>
                </patternFill>
              </fill>
            </x14:dxf>
          </x14:cfRule>
          <xm:sqref>R26:X31</xm:sqref>
        </x14:conditionalFormatting>
        <x14:conditionalFormatting xmlns:xm="http://schemas.microsoft.com/office/excel/2006/main">
          <x14:cfRule type="expression" priority="5" id="{C24ABE26-7DC1-4EEF-8E2A-67B3D69AC846}">
            <xm:f>AND(ShowHoliday,COUNTIFS(Holiday!$A:$A,CalendarYear&amp;"/10/"&amp;  REPT("0",2-LEN(B35))&amp;B35)=1)</xm:f>
            <x14:dxf>
              <fill>
                <patternFill>
                  <bgColor theme="9" tint="0.39994506668294322"/>
                </patternFill>
              </fill>
            </x14:dxf>
          </x14:cfRule>
          <xm:sqref>B35:H40</xm:sqref>
        </x14:conditionalFormatting>
        <x14:conditionalFormatting xmlns:xm="http://schemas.microsoft.com/office/excel/2006/main">
          <x14:cfRule type="expression" priority="4" id="{F3B6D07F-9FD9-4A95-9FA0-B9FFD5B8FFC1}">
            <xm:f>AND(ShowHoliday,COUNTIFS(Holiday!$A:$A,CalendarYear&amp;"/11/"&amp;  REPT("0",2-LEN(J35))&amp;J35)=1)</xm:f>
            <x14:dxf>
              <fill>
                <patternFill>
                  <bgColor theme="9" tint="0.39994506668294322"/>
                </patternFill>
              </fill>
            </x14:dxf>
          </x14:cfRule>
          <xm:sqref>J35:P40</xm:sqref>
        </x14:conditionalFormatting>
        <x14:conditionalFormatting xmlns:xm="http://schemas.microsoft.com/office/excel/2006/main">
          <x14:cfRule type="expression" priority="3" id="{21583D2E-843B-4B69-A85A-8F126E068444}">
            <xm:f>AND(ShowHoliday,COUNTIFS(Holiday!$A:$A,CalendarYear&amp;"/12/"&amp;  REPT("0",2-LEN(R35))&amp;R35)=1)</xm:f>
            <x14:dxf>
              <fill>
                <patternFill>
                  <bgColor theme="9" tint="0.39994506668294322"/>
                </patternFill>
              </fill>
            </x14:dxf>
          </x14:cfRule>
          <xm:sqref>R35:X40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7"/>
  <sheetViews>
    <sheetView showGridLines="0" zoomScale="145" zoomScaleNormal="145" workbookViewId="0">
      <selection activeCell="A26" sqref="A26"/>
    </sheetView>
  </sheetViews>
  <sheetFormatPr defaultRowHeight="12.75" x14ac:dyDescent="0.2"/>
  <cols>
    <col min="1" max="1" width="17.7109375" customWidth="1"/>
    <col min="2" max="2" width="34.42578125" customWidth="1"/>
  </cols>
  <sheetData>
    <row r="1" spans="1:2" x14ac:dyDescent="0.2">
      <c r="A1" s="13" t="s">
        <v>37</v>
      </c>
      <c r="B1" s="13" t="s">
        <v>46</v>
      </c>
    </row>
    <row r="2" spans="1:2" x14ac:dyDescent="0.2">
      <c r="A2" s="13" t="s">
        <v>40</v>
      </c>
      <c r="B2" s="13" t="s">
        <v>47</v>
      </c>
    </row>
    <row r="3" spans="1:2" x14ac:dyDescent="0.2">
      <c r="A3" s="13" t="s">
        <v>41</v>
      </c>
      <c r="B3" s="13" t="s">
        <v>47</v>
      </c>
    </row>
    <row r="4" spans="1:2" x14ac:dyDescent="0.2">
      <c r="A4" s="13" t="s">
        <v>42</v>
      </c>
      <c r="B4" s="13" t="s">
        <v>47</v>
      </c>
    </row>
    <row r="5" spans="1:2" x14ac:dyDescent="0.2">
      <c r="A5" s="13" t="s">
        <v>38</v>
      </c>
      <c r="B5" s="13" t="s">
        <v>47</v>
      </c>
    </row>
    <row r="6" spans="1:2" x14ac:dyDescent="0.2">
      <c r="A6" s="13" t="s">
        <v>43</v>
      </c>
      <c r="B6" s="13" t="s">
        <v>48</v>
      </c>
    </row>
    <row r="7" spans="1:2" x14ac:dyDescent="0.2">
      <c r="A7" s="13" t="s">
        <v>44</v>
      </c>
      <c r="B7" s="13" t="s">
        <v>49</v>
      </c>
    </row>
    <row r="8" spans="1:2" x14ac:dyDescent="0.2">
      <c r="A8" s="13" t="s">
        <v>45</v>
      </c>
      <c r="B8" s="13" t="s">
        <v>50</v>
      </c>
    </row>
    <row r="9" spans="1:2" x14ac:dyDescent="0.2">
      <c r="A9" s="13" t="s">
        <v>51</v>
      </c>
      <c r="B9" s="13" t="s">
        <v>55</v>
      </c>
    </row>
    <row r="10" spans="1:2" x14ac:dyDescent="0.2">
      <c r="A10" s="13" t="s">
        <v>52</v>
      </c>
      <c r="B10" s="13" t="s">
        <v>56</v>
      </c>
    </row>
    <row r="11" spans="1:2" x14ac:dyDescent="0.2">
      <c r="A11" s="13" t="s">
        <v>53</v>
      </c>
      <c r="B11" s="13" t="s">
        <v>57</v>
      </c>
    </row>
    <row r="12" spans="1:2" x14ac:dyDescent="0.2">
      <c r="A12" s="13" t="s">
        <v>54</v>
      </c>
      <c r="B12" s="13" t="s">
        <v>58</v>
      </c>
    </row>
    <row r="13" spans="1:2" x14ac:dyDescent="0.2">
      <c r="A13" s="13" t="s">
        <v>59</v>
      </c>
      <c r="B13" s="13" t="s">
        <v>64</v>
      </c>
    </row>
    <row r="14" spans="1:2" x14ac:dyDescent="0.2">
      <c r="A14" s="13" t="s">
        <v>60</v>
      </c>
      <c r="B14" s="13" t="s">
        <v>65</v>
      </c>
    </row>
    <row r="15" spans="1:2" x14ac:dyDescent="0.2">
      <c r="A15" s="13" t="s">
        <v>61</v>
      </c>
      <c r="B15" s="13" t="s">
        <v>66</v>
      </c>
    </row>
    <row r="16" spans="1:2" x14ac:dyDescent="0.2">
      <c r="A16" s="13" t="s">
        <v>62</v>
      </c>
      <c r="B16" s="13" t="s">
        <v>67</v>
      </c>
    </row>
    <row r="17" spans="1:2" x14ac:dyDescent="0.2">
      <c r="A17" s="13" t="s">
        <v>63</v>
      </c>
      <c r="B17" s="13" t="s">
        <v>68</v>
      </c>
    </row>
    <row r="18" spans="1:2" x14ac:dyDescent="0.2">
      <c r="A18" s="13" t="s">
        <v>69</v>
      </c>
      <c r="B18" s="13" t="s">
        <v>74</v>
      </c>
    </row>
    <row r="19" spans="1:2" x14ac:dyDescent="0.2">
      <c r="A19" s="13" t="s">
        <v>70</v>
      </c>
      <c r="B19" s="13" t="s">
        <v>75</v>
      </c>
    </row>
    <row r="20" spans="1:2" x14ac:dyDescent="0.2">
      <c r="A20" s="13" t="s">
        <v>71</v>
      </c>
      <c r="B20" s="13" t="s">
        <v>76</v>
      </c>
    </row>
    <row r="21" spans="1:2" x14ac:dyDescent="0.2">
      <c r="A21" s="13" t="s">
        <v>79</v>
      </c>
      <c r="B21" s="13" t="s">
        <v>77</v>
      </c>
    </row>
    <row r="22" spans="1:2" x14ac:dyDescent="0.2">
      <c r="A22" s="13" t="s">
        <v>85</v>
      </c>
      <c r="B22" s="13" t="s">
        <v>78</v>
      </c>
    </row>
    <row r="23" spans="1:2" x14ac:dyDescent="0.2">
      <c r="A23" s="13" t="s">
        <v>86</v>
      </c>
      <c r="B23" s="13" t="s">
        <v>80</v>
      </c>
    </row>
    <row r="24" spans="1:2" x14ac:dyDescent="0.2">
      <c r="A24" s="13" t="s">
        <v>87</v>
      </c>
      <c r="B24" s="13" t="s">
        <v>81</v>
      </c>
    </row>
    <row r="25" spans="1:2" x14ac:dyDescent="0.2">
      <c r="A25" s="13" t="s">
        <v>88</v>
      </c>
      <c r="B25" s="13" t="s">
        <v>82</v>
      </c>
    </row>
    <row r="26" spans="1:2" x14ac:dyDescent="0.2">
      <c r="A26" s="13" t="s">
        <v>72</v>
      </c>
      <c r="B26" s="13" t="s">
        <v>83</v>
      </c>
    </row>
    <row r="27" spans="1:2" x14ac:dyDescent="0.2">
      <c r="A27" s="13" t="s">
        <v>73</v>
      </c>
      <c r="B27" s="13" t="s">
        <v>84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3"/>
  <sheetViews>
    <sheetView showGridLines="0" showRowColHeaders="0" zoomScale="115" zoomScaleNormal="115" workbookViewId="0">
      <selection activeCell="A60" sqref="A60:I63"/>
    </sheetView>
  </sheetViews>
  <sheetFormatPr defaultRowHeight="14.25" x14ac:dyDescent="0.2"/>
  <cols>
    <col min="1" max="16384" width="9.140625" style="9"/>
  </cols>
  <sheetData>
    <row r="1" spans="1:9" ht="15" customHeight="1" x14ac:dyDescent="0.2">
      <c r="A1" s="21" t="s">
        <v>19</v>
      </c>
      <c r="B1" s="21"/>
      <c r="C1" s="21"/>
      <c r="D1" s="21"/>
      <c r="E1" s="21"/>
      <c r="F1" s="21"/>
      <c r="G1" s="21"/>
      <c r="H1" s="21"/>
      <c r="I1" s="21"/>
    </row>
    <row r="2" spans="1:9" ht="15" customHeight="1" x14ac:dyDescent="0.2">
      <c r="A2" s="21"/>
      <c r="B2" s="21"/>
      <c r="C2" s="21"/>
      <c r="D2" s="21"/>
      <c r="E2" s="21"/>
      <c r="F2" s="21"/>
      <c r="G2" s="21"/>
      <c r="H2" s="21"/>
      <c r="I2" s="21"/>
    </row>
    <row r="3" spans="1:9" ht="15" customHeight="1" x14ac:dyDescent="0.2">
      <c r="A3" s="22"/>
      <c r="B3" s="22"/>
      <c r="C3" s="22"/>
      <c r="D3" s="22"/>
      <c r="E3" s="22"/>
      <c r="F3" s="22"/>
      <c r="G3" s="22"/>
      <c r="H3" s="22"/>
      <c r="I3" s="22"/>
    </row>
    <row r="4" spans="1:9" x14ac:dyDescent="0.2">
      <c r="F4" s="10"/>
      <c r="G4" s="10"/>
      <c r="H4" s="10"/>
      <c r="I4" s="10"/>
    </row>
    <row r="5" spans="1:9" x14ac:dyDescent="0.2">
      <c r="A5" s="18" t="s">
        <v>20</v>
      </c>
      <c r="B5" s="18"/>
      <c r="C5" s="18"/>
      <c r="D5" s="18"/>
      <c r="E5" s="18"/>
      <c r="F5" s="18"/>
      <c r="G5" s="18"/>
      <c r="H5" s="18"/>
      <c r="I5" s="18"/>
    </row>
    <row r="6" spans="1:9" x14ac:dyDescent="0.2">
      <c r="A6" s="18"/>
      <c r="B6" s="18"/>
      <c r="C6" s="18"/>
      <c r="D6" s="18"/>
      <c r="E6" s="18"/>
      <c r="F6" s="18"/>
      <c r="G6" s="18"/>
      <c r="H6" s="18"/>
      <c r="I6" s="18"/>
    </row>
    <row r="7" spans="1:9" x14ac:dyDescent="0.2">
      <c r="A7" s="18"/>
      <c r="B7" s="18"/>
      <c r="C7" s="18"/>
      <c r="D7" s="18"/>
      <c r="E7" s="18"/>
      <c r="F7" s="18"/>
      <c r="G7" s="18"/>
      <c r="H7" s="18"/>
      <c r="I7" s="18"/>
    </row>
    <row r="8" spans="1:9" x14ac:dyDescent="0.2">
      <c r="A8" s="18"/>
      <c r="B8" s="18"/>
      <c r="C8" s="18"/>
      <c r="D8" s="18"/>
      <c r="E8" s="18"/>
      <c r="F8" s="18"/>
      <c r="G8" s="18"/>
      <c r="H8" s="18"/>
      <c r="I8" s="18"/>
    </row>
    <row r="9" spans="1:9" ht="20.25" x14ac:dyDescent="0.3">
      <c r="I9" s="11" t="s">
        <v>21</v>
      </c>
    </row>
    <row r="10" spans="1:9" x14ac:dyDescent="0.2">
      <c r="A10" s="18" t="s">
        <v>22</v>
      </c>
      <c r="B10" s="18"/>
      <c r="C10" s="18"/>
      <c r="D10" s="18"/>
      <c r="E10" s="18"/>
      <c r="F10" s="18"/>
      <c r="G10" s="18"/>
      <c r="H10" s="18"/>
      <c r="I10" s="18"/>
    </row>
    <row r="11" spans="1:9" x14ac:dyDescent="0.2">
      <c r="A11" s="18"/>
      <c r="B11" s="18"/>
      <c r="C11" s="18"/>
      <c r="D11" s="18"/>
      <c r="E11" s="18"/>
      <c r="F11" s="18"/>
      <c r="G11" s="18"/>
      <c r="H11" s="18"/>
      <c r="I11" s="18"/>
    </row>
    <row r="12" spans="1:9" x14ac:dyDescent="0.2">
      <c r="A12" s="18"/>
      <c r="B12" s="18"/>
      <c r="C12" s="18"/>
      <c r="D12" s="18"/>
      <c r="E12" s="18"/>
      <c r="F12" s="18"/>
      <c r="G12" s="18"/>
      <c r="H12" s="18"/>
      <c r="I12" s="18"/>
    </row>
    <row r="13" spans="1:9" x14ac:dyDescent="0.2">
      <c r="A13" s="18"/>
      <c r="B13" s="18"/>
      <c r="C13" s="18"/>
      <c r="D13" s="18"/>
      <c r="E13" s="18"/>
      <c r="F13" s="18"/>
      <c r="G13" s="18"/>
      <c r="H13" s="18"/>
      <c r="I13" s="18"/>
    </row>
    <row r="17" spans="1:9" x14ac:dyDescent="0.2">
      <c r="A17" s="18" t="s">
        <v>23</v>
      </c>
      <c r="B17" s="18"/>
      <c r="C17" s="18"/>
      <c r="D17" s="18"/>
      <c r="E17" s="18"/>
      <c r="F17" s="18"/>
      <c r="G17" s="18"/>
      <c r="H17" s="18"/>
      <c r="I17" s="18"/>
    </row>
    <row r="18" spans="1:9" x14ac:dyDescent="0.2">
      <c r="A18" s="18"/>
      <c r="B18" s="18"/>
      <c r="C18" s="18"/>
      <c r="D18" s="18"/>
      <c r="E18" s="18"/>
      <c r="F18" s="18"/>
      <c r="G18" s="18"/>
      <c r="H18" s="18"/>
      <c r="I18" s="18"/>
    </row>
    <row r="19" spans="1:9" x14ac:dyDescent="0.2">
      <c r="A19" s="18"/>
      <c r="B19" s="18"/>
      <c r="C19" s="18"/>
      <c r="D19" s="18"/>
      <c r="E19" s="18"/>
      <c r="F19" s="18"/>
      <c r="G19" s="18"/>
      <c r="H19" s="18"/>
      <c r="I19" s="18"/>
    </row>
    <row r="20" spans="1:9" x14ac:dyDescent="0.2">
      <c r="A20" s="18"/>
      <c r="B20" s="18"/>
      <c r="C20" s="18"/>
      <c r="D20" s="18"/>
      <c r="E20" s="18"/>
      <c r="F20" s="18"/>
      <c r="G20" s="18"/>
      <c r="H20" s="18"/>
      <c r="I20" s="18"/>
    </row>
    <row r="27" spans="1:9" ht="20.25" x14ac:dyDescent="0.3">
      <c r="I27" s="11" t="s">
        <v>24</v>
      </c>
    </row>
    <row r="28" spans="1:9" x14ac:dyDescent="0.2">
      <c r="A28" s="18" t="s">
        <v>25</v>
      </c>
      <c r="B28" s="18"/>
      <c r="C28" s="18"/>
      <c r="D28" s="18"/>
      <c r="E28" s="18"/>
      <c r="F28" s="18"/>
      <c r="G28" s="18"/>
      <c r="H28" s="18"/>
      <c r="I28" s="18"/>
    </row>
    <row r="29" spans="1:9" x14ac:dyDescent="0.2">
      <c r="A29" s="18"/>
      <c r="B29" s="18"/>
      <c r="C29" s="18"/>
      <c r="D29" s="18"/>
      <c r="E29" s="18"/>
      <c r="F29" s="18"/>
      <c r="G29" s="18"/>
      <c r="H29" s="18"/>
      <c r="I29" s="18"/>
    </row>
    <row r="30" spans="1:9" x14ac:dyDescent="0.2">
      <c r="A30" s="18"/>
      <c r="B30" s="18"/>
      <c r="C30" s="18"/>
      <c r="D30" s="18"/>
      <c r="E30" s="18"/>
      <c r="F30" s="18"/>
      <c r="G30" s="18"/>
      <c r="H30" s="18"/>
      <c r="I30" s="18"/>
    </row>
    <row r="31" spans="1:9" x14ac:dyDescent="0.2">
      <c r="A31" s="18"/>
      <c r="B31" s="18"/>
      <c r="C31" s="18"/>
      <c r="D31" s="18"/>
      <c r="E31" s="18"/>
      <c r="F31" s="18"/>
      <c r="G31" s="18"/>
      <c r="H31" s="18"/>
      <c r="I31" s="18"/>
    </row>
    <row r="41" spans="1:9" x14ac:dyDescent="0.2">
      <c r="A41" s="18" t="s">
        <v>26</v>
      </c>
      <c r="B41" s="18"/>
      <c r="C41" s="18"/>
      <c r="D41" s="18"/>
      <c r="E41" s="18"/>
      <c r="F41" s="18"/>
      <c r="G41" s="18"/>
      <c r="H41" s="18"/>
      <c r="I41" s="18"/>
    </row>
    <row r="42" spans="1:9" x14ac:dyDescent="0.2">
      <c r="A42" s="18"/>
      <c r="B42" s="18"/>
      <c r="C42" s="18"/>
      <c r="D42" s="18"/>
      <c r="E42" s="18"/>
      <c r="F42" s="18"/>
      <c r="G42" s="18"/>
      <c r="H42" s="18"/>
      <c r="I42" s="18"/>
    </row>
    <row r="43" spans="1:9" x14ac:dyDescent="0.2">
      <c r="A43" s="18"/>
      <c r="B43" s="18"/>
      <c r="C43" s="18"/>
      <c r="D43" s="18"/>
      <c r="E43" s="18"/>
      <c r="F43" s="18"/>
      <c r="G43" s="18"/>
      <c r="H43" s="18"/>
      <c r="I43" s="18"/>
    </row>
    <row r="44" spans="1:9" x14ac:dyDescent="0.2">
      <c r="A44" s="18"/>
      <c r="B44" s="18"/>
      <c r="C44" s="18"/>
      <c r="D44" s="18"/>
      <c r="E44" s="18"/>
      <c r="F44" s="18"/>
      <c r="G44" s="18"/>
      <c r="H44" s="18"/>
      <c r="I44" s="18"/>
    </row>
    <row r="60" spans="1:9" x14ac:dyDescent="0.2">
      <c r="A60" s="19" t="s">
        <v>27</v>
      </c>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sheetData>
  <mergeCells count="8">
    <mergeCell ref="A41:I44"/>
    <mergeCell ref="A60:I63"/>
    <mergeCell ref="A1:I2"/>
    <mergeCell ref="A3:I3"/>
    <mergeCell ref="A5:I8"/>
    <mergeCell ref="A10:I13"/>
    <mergeCell ref="A17:I20"/>
    <mergeCell ref="A28:I3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15061620-3227-43E5-A04E-AA5307E7167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PersianCalender</vt:lpstr>
      <vt:lpstr>Holiday</vt:lpstr>
      <vt:lpstr>Help</vt:lpstr>
      <vt:lpstr>Holiday!CalendarYear</vt:lpstr>
      <vt:lpstr>PersianCalender!CalendarYear</vt:lpstr>
      <vt:lpstr>ShowHoliday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تقویم هجری شمسی فرساران</dc:title>
  <dc:creator>فرشید میدانی</dc:creator>
  <cp:lastModifiedBy>FARSHID</cp:lastModifiedBy>
  <dcterms:created xsi:type="dcterms:W3CDTF">2013-03-09T10:44:16Z</dcterms:created>
  <dcterms:modified xsi:type="dcterms:W3CDTF">2014-04-03T14:39:05Z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TC040142049991</vt:lpwstr>
  </property>
</Properties>
</file>