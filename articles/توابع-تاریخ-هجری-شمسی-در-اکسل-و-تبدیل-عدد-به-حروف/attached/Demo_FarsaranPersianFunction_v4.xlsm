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50" windowWidth="15195" windowHeight="8055" tabRatio="656"/>
  </bookViews>
  <sheets>
    <sheet name="Index" sheetId="11" r:id="rId1"/>
    <sheet name="Help" sheetId="8" r:id="rId2"/>
    <sheet name="AHB" sheetId="12" r:id="rId3"/>
    <sheet name="TBH" sheetId="13" r:id="rId4"/>
    <sheet name="JCalc" sheetId="14" r:id="rId5"/>
    <sheet name="Convert" sheetId="15" r:id="rId6"/>
    <sheet name="Tip" sheetId="16" r:id="rId7"/>
    <sheet name="Support" sheetId="17" r:id="rId8"/>
    <sheet name="run" sheetId="18" state="veryHidden" r:id="rId9"/>
  </sheets>
  <functionGroups builtInGroupCount="17"/>
  <calcPr calcId="144525"/>
</workbook>
</file>

<file path=xl/calcChain.xml><?xml version="1.0" encoding="utf-8"?>
<calcChain xmlns="http://schemas.openxmlformats.org/spreadsheetml/2006/main">
  <c r="B5" i="16" l="1"/>
  <c r="B11" i="15"/>
  <c r="B14" i="12"/>
  <c r="B20" i="12"/>
  <c r="B11" i="13"/>
  <c r="B8" i="15"/>
  <c r="B11" i="12"/>
  <c r="B11" i="14"/>
  <c r="B5" i="13"/>
  <c r="B5" i="14"/>
  <c r="B8" i="13"/>
  <c r="B23" i="12"/>
  <c r="B8" i="12"/>
  <c r="B11" i="16"/>
  <c r="B8" i="16"/>
  <c r="B5" i="12"/>
  <c r="B17" i="12"/>
  <c r="B9" i="15"/>
  <c r="B5" i="15"/>
  <c r="A14" i="14"/>
  <c r="A17" i="14"/>
  <c r="B14" i="14"/>
  <c r="A8" i="14"/>
  <c r="B8" i="14" s="1"/>
  <c r="B17" i="14"/>
</calcChain>
</file>

<file path=xl/sharedStrings.xml><?xml version="1.0" encoding="utf-8"?>
<sst xmlns="http://schemas.openxmlformats.org/spreadsheetml/2006/main" count="61" uniqueCount="49">
  <si>
    <t>1357/05/17</t>
  </si>
  <si>
    <t>در اینجا شما مثا‌ل‌های تبدیل تاریخ به حروف را خواهید دید.</t>
  </si>
  <si>
    <t>1391/5/17</t>
  </si>
  <si>
    <t>گزینه راست به چپ نیز انتخاب شده است</t>
  </si>
  <si>
    <t>تاریخ به صورت کامل</t>
  </si>
  <si>
    <t>تاریخ بدون اسلش است و از تابع FDATE استفاده شده است</t>
  </si>
  <si>
    <t>در این سلول تاریخ به صورت یک عدد است و توسط Format Cells علامت اسلش نمایش داده می شود.</t>
  </si>
  <si>
    <t>کلمه «ریال پرداخت شد» به حروف اضافه شده است.</t>
  </si>
  <si>
    <t>اعشاری و صحیح</t>
  </si>
  <si>
    <t>اعشاری</t>
  </si>
  <si>
    <t>عدد منفی</t>
  </si>
  <si>
    <t>اعشار توسط تابع Trunc حذف شده است.</t>
  </si>
  <si>
    <t>جمع یک تاریخ با یک عدد.</t>
  </si>
  <si>
    <t>تاریخ امروز که از روی تاریخ ویندوز محاسبه می‌شود.
این تاریخ هر روز آپدیت می شود.</t>
  </si>
  <si>
    <t>1391/01/01</t>
  </si>
  <si>
    <t>1391/12/12</t>
  </si>
  <si>
    <t>محاسبه تعداد روزهای بین دو تاریخ.</t>
  </si>
  <si>
    <t>محاسبه روز هفته از روی تاریخ. در این فرمول J_Today در تابع J_WeekDay بکار رفته است.</t>
  </si>
  <si>
    <t>تابع IF مشخص می کند که آیا تاریخ پنجشنبه و یا جمعه است یا خیر.</t>
  </si>
  <si>
    <t>محاسبه تاریخ میلادی از روی یک تاریخ شمسی</t>
  </si>
  <si>
    <t>تبدیل تاریخ میلادی به شمسی. 
حالت تاریخ برای اکسل مهم نیست.</t>
  </si>
  <si>
    <r>
      <t xml:space="preserve">تبدیل تاریخ میلادی به تاریخ میلادی </t>
    </r>
    <r>
      <rPr>
        <sz val="10"/>
        <color rgb="FFF66B16"/>
        <rFont val="Tahoma"/>
        <family val="2"/>
      </rPr>
      <t>استاندارد</t>
    </r>
    <r>
      <rPr>
        <sz val="10"/>
        <color theme="1"/>
        <rFont val="Tahoma"/>
        <family val="2"/>
      </rPr>
      <t xml:space="preserve"> اکسل با تابع DataValue .</t>
    </r>
  </si>
  <si>
    <t>حذف علامت / از یک تاریخ شمسی برای تبدیل آن به عدد.</t>
  </si>
  <si>
    <t>محاسبه تعداد هفته های بین دو تاریخ شمسی. تابع Trunc برای حذف اعشار بکار می رود.</t>
  </si>
  <si>
    <t>تبدیل تاریخ میلادی و هجری به یکدیگر</t>
  </si>
  <si>
    <t>نکات و ترفندهای مفید</t>
  </si>
  <si>
    <t>راهنمای فعال سازی ماکرو</t>
  </si>
  <si>
    <t>برای آشنایی بیشتر به فایل PDF این توابع مراجعه نمایید.</t>
  </si>
  <si>
    <r>
      <t xml:space="preserve">برای آنکه بتوانید از توابع این فایل نمونه استفاده نمایید ابتدا باید ماکروها را فعال کنید.
</t>
    </r>
    <r>
      <rPr>
        <sz val="11"/>
        <color rgb="FFFFFF00"/>
        <rFont val="Tahoma"/>
        <family val="2"/>
      </rPr>
      <t>توجه</t>
    </r>
    <r>
      <rPr>
        <sz val="11"/>
        <color theme="0" tint="-0.14999847407452621"/>
        <rFont val="Tahoma"/>
        <family val="2"/>
      </rPr>
      <t xml:space="preserve"> : اینکار باید بلافاصله بعد از باز کردن فایل انجام گردد.</t>
    </r>
  </si>
  <si>
    <t>Excel 2010</t>
  </si>
  <si>
    <t>بعد از باز کردن فایل اگر در پیغام زیر را مشاهده کردید، گزینه Enable را بزنید. این پیغام وقتی نمایش داده می شود که فایل را از روی اینترنت یا ایمیل خود دریافت کرده باشید:</t>
  </si>
  <si>
    <t>سپس پیغام فعال کردن ماکرو نمایش داده می شود که حتما باید آنرا فعال نمایید.</t>
  </si>
  <si>
    <t>Excel 2007</t>
  </si>
  <si>
    <t>بلافاصله بعد از باز کردن فایل گزینه Options را مشاهده می نمایید، روی آن کلیک کنید.</t>
  </si>
  <si>
    <t>در پنجره باز شده گزینه ها را فعال نمایید:</t>
  </si>
  <si>
    <t xml:space="preserve">پشتیبانی فنــی </t>
  </si>
  <si>
    <r>
      <t xml:space="preserve">پشتیبانی فنی این محصول </t>
    </r>
    <r>
      <rPr>
        <sz val="11"/>
        <color rgb="FFFFFF00"/>
        <rFont val="Tahoma"/>
        <family val="2"/>
      </rPr>
      <t>فقط</t>
    </r>
    <r>
      <rPr>
        <sz val="11"/>
        <color theme="0" tint="-0.14999847407452621"/>
        <rFont val="Tahoma"/>
        <family val="2"/>
      </rPr>
      <t xml:space="preserve"> از طریق وب سایت فرسارن و انجمن اکسل فرساران انجام می گردد. 
اگر سوالی و یا ابهامی در نحوه کاربرد توابع دارید، ابتدا فایل PDF راهنمای این توابع را مطالعه نمایید زیرا به صورت دقیق و جز به جز تمامی موضوعات و نکات توضیح داده شده است.
در صورتی که پاسخ خود را نیافتید از طریق لینک زیر اقدام به مطرح نمودن موضوع خود در انجمن فرساران نمایید. </t>
    </r>
  </si>
  <si>
    <t>پشتیبانی فنــی و مشـــاوره  و آموزش</t>
  </si>
  <si>
    <t>http://forum.farsaran.com/index.php?board=3.0</t>
  </si>
  <si>
    <t>مشـــاوره</t>
  </si>
  <si>
    <t>آموزش</t>
  </si>
  <si>
    <r>
      <t xml:space="preserve">تیم فنی فرساران آمادگی خود را جهت ارائه مشاوره و پیاده سازی نیازهای سازمان و کسب و کار شما اعلام می دارد. 
بدیهی است که هزینه های مشاوره و پیاده سازی ، به صورت </t>
    </r>
    <r>
      <rPr>
        <sz val="11"/>
        <color rgb="FFFFFF00"/>
        <rFont val="Tahoma"/>
        <family val="2"/>
      </rPr>
      <t>جداگانه</t>
    </r>
    <r>
      <rPr>
        <sz val="11"/>
        <color theme="0" tint="-0.14999847407452621"/>
        <rFont val="Tahoma"/>
        <family val="2"/>
      </rPr>
      <t xml:space="preserve"> برآورد و اعلام خواهد گردید.</t>
    </r>
  </si>
  <si>
    <t>فرساران آمادگی خود را جهت برگزاری جلسات آموزش فشرده ، جهت آشنایی کارشناسان سازمان ها با ابزارهای زبان فارسی دراکسل و اکسس اعلام می دارد.
شایان ذکر است که شما می توانید سرفصلهای کلاسهای اکسل فرساران را از آدرس زیر دانلود نمایید.</t>
  </si>
  <si>
    <t>www.farsaran.com/class</t>
  </si>
  <si>
    <t>برای تماس با فرساران از طریق لینک زیر اطلاعات ما را بیابید:</t>
  </si>
  <si>
    <t>www.farsaran.com/contact</t>
  </si>
  <si>
    <r>
      <t xml:space="preserve">توجه: این فایل بعنوان نسخه نمایشی و با محدودیت‌هایی در تعداد </t>
    </r>
    <r>
      <rPr>
        <sz val="8"/>
        <color rgb="FFFFFF00"/>
        <rFont val="Tahoma"/>
        <family val="2"/>
      </rPr>
      <t>دفعات</t>
    </r>
    <r>
      <rPr>
        <sz val="8"/>
        <color theme="0" tint="-0.14999847407452621"/>
        <rFont val="Tahoma"/>
        <family val="2"/>
      </rPr>
      <t xml:space="preserve"> اجرا ارائه شده است.
 برای تهیه نسخه اصلی لطفا از طریق وب سایت فرساران اقدام به خرید این محصول نمایید.</t>
    </r>
  </si>
  <si>
    <t>قبل از شروع حتما ماکروهای این فایل را فعال نمایید. به صورت قدم به قدم اینکار به شما آموزش داده می‌شود.</t>
  </si>
  <si>
    <t>از شما برای رفتار شرافتمندانه پرداخت هزینه این محصول سپاسگذاری می‌نماییم.</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</si>
</sst>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
    <numFmt numFmtId="165" formatCode="####&quot;/&quot;##&quot;/&quot;##"/>
  </numFmts>
  <fonts count="15" x14ac:knownFonts="1">
    <font>
      <sz val="11"/>
      <color theme="1"/>
      <name val="Calibri"/>
      <family val="2"/>
      <scheme val="minor"/>
    </font>
    <font>
      <sz val="10"/>
      <color theme="1"/>
      <name val="Tahoma"/>
      <family val="2"/>
    </font>
    <font>
      <u/>
      <sz val="11"/>
      <color theme="10"/>
      <name val="Calibri"/>
      <family val="2"/>
      <scheme val="minor"/>
    </font>
    <font>
      <sz val="8"/>
      <color theme="0" tint="-0.14999847407452621"/>
      <name val="Tahoma"/>
      <family val="2"/>
    </font>
    <font>
      <b/>
      <sz val="11"/>
      <color theme="1" tint="0.14999847407452621"/>
      <name val="Tahoma"/>
      <family val="2"/>
    </font>
    <font>
      <sz val="10"/>
      <color rgb="FFF66B16"/>
      <name val="Tahoma"/>
      <family val="2"/>
    </font>
    <font>
      <b/>
      <sz val="8"/>
      <color theme="0" tint="-0.14999847407452621"/>
      <name val="Arial"/>
      <family val="2"/>
    </font>
    <font>
      <sz val="11"/>
      <color theme="0" tint="-0.14999847407452621"/>
      <name val="Tahoma"/>
      <family val="2"/>
    </font>
    <font>
      <sz val="11"/>
      <color rgb="FFFFFF00"/>
      <name val="Tahoma"/>
      <family val="2"/>
    </font>
    <font>
      <b/>
      <sz val="16"/>
      <color rgb="FF92D050"/>
      <name val="Calibri"/>
      <family val="2"/>
      <scheme val="minor"/>
    </font>
    <font>
      <b/>
      <sz val="16"/>
      <color rgb="FF92D050"/>
      <name val="Arial"/>
      <family val="2"/>
    </font>
    <font>
      <b/>
      <sz val="18"/>
      <color rgb="FF92D050"/>
      <name val="Calibri"/>
      <family val="2"/>
      <scheme val="minor"/>
    </font>
    <font>
      <u/>
      <sz val="11"/>
      <color theme="0"/>
      <name val="Calibri"/>
      <family val="2"/>
      <scheme val="minor"/>
    </font>
    <font>
      <sz val="8"/>
      <color rgb="FFFFFF00"/>
      <name val="Tahoma"/>
      <family val="2"/>
    </font>
    <font>
      <b/>
      <sz val="15"/>
      <color rgb="FF92D050"/>
      <name val="Calibri"/>
      <family val="2"/>
      <scheme val="minor"/>
    </font>
  </fonts>
  <fills count="7">
    <fill>
      <patternFill patternType="none"/>
    </fill>
    <fill>
      <patternFill patternType="gray125"/>
    </fill>
    <fill>
      <patternFill patternType="solid">
        <fgColor theme="1" tint="0.249977111117893"/>
        <bgColor indexed="64"/>
      </patternFill>
    </fill>
    <fill>
      <patternFill patternType="solid">
        <fgColor theme="0" tint="-4.9989318521683403E-2"/>
        <bgColor indexed="64"/>
      </patternFill>
    </fill>
    <fill>
      <patternFill patternType="solid">
        <fgColor theme="1" tint="0.249977111117893"/>
        <bgColor auto="1"/>
      </patternFill>
    </fill>
    <fill>
      <patternFill patternType="solid">
        <fgColor theme="0" tint="-0.34998626667073579"/>
        <bgColor indexed="64"/>
      </patternFill>
    </fill>
    <fill>
      <patternFill patternType="solid">
        <fgColor theme="0" tint="-0.34998626667073579"/>
        <bgColor auto="1"/>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80">
    <xf numFmtId="0" fontId="0" fillId="0" borderId="0" xfId="0"/>
    <xf numFmtId="0" fontId="0" fillId="2" borderId="0" xfId="0" applyFill="1"/>
    <xf numFmtId="0" fontId="0" fillId="3" borderId="0" xfId="0" applyFill="1"/>
    <xf numFmtId="0" fontId="6" fillId="4" borderId="0" xfId="0" applyFont="1" applyFill="1" applyAlignment="1">
      <alignment vertical="center" wrapText="1"/>
    </xf>
    <xf numFmtId="0" fontId="9" fillId="2" borderId="0" xfId="0" applyFont="1" applyFill="1"/>
    <xf numFmtId="0" fontId="11" fillId="2" borderId="0" xfId="0" applyFont="1" applyFill="1"/>
    <xf numFmtId="0" fontId="7" fillId="4" borderId="0" xfId="0" applyFont="1" applyFill="1" applyAlignment="1">
      <alignment vertical="top" wrapText="1"/>
    </xf>
    <xf numFmtId="0" fontId="12" fillId="2" borderId="0" xfId="1" applyFont="1" applyFill="1"/>
    <xf numFmtId="0" fontId="0" fillId="5" borderId="0" xfId="0" applyFill="1"/>
    <xf numFmtId="0" fontId="0" fillId="5" borderId="9" xfId="0" applyFill="1" applyBorder="1" applyAlignment="1">
      <alignment horizontal="left" vertical="top"/>
    </xf>
    <xf numFmtId="0" fontId="0" fillId="5" borderId="10" xfId="0" applyFill="1" applyBorder="1" applyAlignment="1">
      <alignment horizontal="left" vertical="top"/>
    </xf>
    <xf numFmtId="0" fontId="0" fillId="5" borderId="11" xfId="0" applyFill="1" applyBorder="1" applyAlignment="1">
      <alignment horizontal="left" vertical="top"/>
    </xf>
    <xf numFmtId="0" fontId="0" fillId="5" borderId="9" xfId="0" applyFill="1" applyBorder="1" applyAlignment="1">
      <alignment vertical="top"/>
    </xf>
    <xf numFmtId="0" fontId="0" fillId="5" borderId="10" xfId="0" applyFill="1" applyBorder="1" applyAlignment="1">
      <alignment vertical="top"/>
    </xf>
    <xf numFmtId="0" fontId="1" fillId="5" borderId="4" xfId="0" applyFont="1" applyFill="1" applyBorder="1" applyAlignment="1">
      <alignment vertical="top" wrapText="1"/>
    </xf>
    <xf numFmtId="0" fontId="1" fillId="5" borderId="0" xfId="0" applyFont="1" applyFill="1" applyBorder="1" applyAlignment="1">
      <alignment vertical="top" wrapText="1"/>
    </xf>
    <xf numFmtId="0" fontId="1" fillId="5" borderId="5" xfId="0" applyFont="1" applyFill="1" applyBorder="1" applyAlignment="1">
      <alignment vertical="top" wrapText="1"/>
    </xf>
    <xf numFmtId="0" fontId="0" fillId="5" borderId="11" xfId="0" applyFill="1" applyBorder="1" applyAlignment="1">
      <alignment vertical="top"/>
    </xf>
    <xf numFmtId="0" fontId="1" fillId="5" borderId="6" xfId="0" applyFont="1" applyFill="1" applyBorder="1" applyAlignment="1">
      <alignment vertical="top" wrapText="1"/>
    </xf>
    <xf numFmtId="0" fontId="1" fillId="5" borderId="7" xfId="0" applyFont="1" applyFill="1" applyBorder="1" applyAlignment="1">
      <alignment vertical="top" wrapText="1"/>
    </xf>
    <xf numFmtId="0" fontId="1" fillId="5" borderId="8" xfId="0" applyFont="1" applyFill="1" applyBorder="1" applyAlignment="1">
      <alignment vertical="top" wrapText="1"/>
    </xf>
    <xf numFmtId="165" fontId="0" fillId="5" borderId="3" xfId="0" applyNumberFormat="1" applyFill="1" applyBorder="1" applyAlignment="1">
      <alignment horizontal="left"/>
    </xf>
    <xf numFmtId="0" fontId="0" fillId="5" borderId="5" xfId="0" applyFill="1" applyBorder="1"/>
    <xf numFmtId="0" fontId="0" fillId="5" borderId="4" xfId="0" applyFill="1" applyBorder="1" applyAlignment="1">
      <alignment vertical="top"/>
    </xf>
    <xf numFmtId="0" fontId="0" fillId="5" borderId="0" xfId="0" applyFill="1" applyBorder="1" applyAlignment="1">
      <alignment vertical="top"/>
    </xf>
    <xf numFmtId="0" fontId="0" fillId="5" borderId="5"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8" xfId="0" applyFill="1" applyBorder="1" applyAlignment="1">
      <alignment vertical="top"/>
    </xf>
    <xf numFmtId="14" fontId="0" fillId="5" borderId="9" xfId="0" applyNumberFormat="1" applyFill="1" applyBorder="1" applyAlignment="1">
      <alignment horizontal="left" vertical="top"/>
    </xf>
    <xf numFmtId="164" fontId="0" fillId="5" borderId="10" xfId="0" applyNumberFormat="1" applyFill="1" applyBorder="1" applyAlignment="1">
      <alignment horizontal="left" vertical="top"/>
    </xf>
    <xf numFmtId="0" fontId="1" fillId="5" borderId="6" xfId="0" applyFont="1" applyFill="1" applyBorder="1" applyAlignment="1">
      <alignment vertical="top" wrapText="1" readingOrder="2"/>
    </xf>
    <xf numFmtId="0" fontId="1" fillId="5" borderId="7" xfId="0" applyFont="1" applyFill="1" applyBorder="1" applyAlignment="1">
      <alignment vertical="top" wrapText="1" readingOrder="2"/>
    </xf>
    <xf numFmtId="0" fontId="1" fillId="5" borderId="8" xfId="0" applyFont="1" applyFill="1" applyBorder="1" applyAlignment="1">
      <alignment vertical="top" wrapText="1" readingOrder="2"/>
    </xf>
    <xf numFmtId="0" fontId="0" fillId="0" borderId="0" xfId="0" applyAlignment="1">
      <alignment wrapText="1"/>
    </xf>
    <xf numFmtId="0" fontId="14" fillId="2" borderId="0" xfId="0" applyFont="1" applyFill="1" applyAlignment="1">
      <alignment horizontal="right" vertical="center" wrapText="1"/>
    </xf>
    <xf numFmtId="0" fontId="3" fillId="2" borderId="0" xfId="0" applyFont="1" applyFill="1" applyAlignment="1">
      <alignment horizontal="center" vertical="center" wrapText="1"/>
    </xf>
    <xf numFmtId="0" fontId="7" fillId="4" borderId="0" xfId="0" applyFont="1" applyFill="1" applyAlignment="1">
      <alignment horizontal="right" vertical="top" wrapText="1"/>
    </xf>
    <xf numFmtId="0" fontId="10" fillId="4" borderId="0" xfId="0" applyFont="1" applyFill="1" applyAlignment="1">
      <alignment horizontal="center" vertical="center" wrapText="1"/>
    </xf>
    <xf numFmtId="0" fontId="7" fillId="4" borderId="0" xfId="0" applyFont="1" applyFill="1" applyAlignment="1">
      <alignment horizontal="center" vertical="center" wrapText="1"/>
    </xf>
    <xf numFmtId="0" fontId="1" fillId="5" borderId="1" xfId="0" applyFont="1" applyFill="1" applyBorder="1" applyAlignment="1">
      <alignment horizontal="right" vertical="top" wrapText="1" readingOrder="2"/>
    </xf>
    <xf numFmtId="0" fontId="1" fillId="5" borderId="2" xfId="0" applyFont="1" applyFill="1" applyBorder="1" applyAlignment="1">
      <alignment horizontal="right" vertical="top" wrapText="1" readingOrder="2"/>
    </xf>
    <xf numFmtId="0" fontId="1" fillId="5" borderId="3" xfId="0" applyFont="1" applyFill="1" applyBorder="1" applyAlignment="1">
      <alignment horizontal="right" vertical="top" wrapText="1" readingOrder="2"/>
    </xf>
    <xf numFmtId="0" fontId="1" fillId="5" borderId="4" xfId="0" applyFont="1" applyFill="1" applyBorder="1" applyAlignment="1">
      <alignment horizontal="right" vertical="top" wrapText="1" readingOrder="2"/>
    </xf>
    <xf numFmtId="0" fontId="1" fillId="5" borderId="0" xfId="0" applyFont="1" applyFill="1" applyBorder="1" applyAlignment="1">
      <alignment horizontal="right" vertical="top" wrapText="1" readingOrder="2"/>
    </xf>
    <xf numFmtId="0" fontId="1" fillId="5" borderId="5" xfId="0" applyFont="1" applyFill="1" applyBorder="1" applyAlignment="1">
      <alignment horizontal="right" vertical="top" wrapText="1" readingOrder="2"/>
    </xf>
    <xf numFmtId="0" fontId="1" fillId="5" borderId="6" xfId="0" applyFont="1" applyFill="1" applyBorder="1" applyAlignment="1">
      <alignment horizontal="right" vertical="top" wrapText="1" readingOrder="2"/>
    </xf>
    <xf numFmtId="0" fontId="1" fillId="5" borderId="7" xfId="0" applyFont="1" applyFill="1" applyBorder="1" applyAlignment="1">
      <alignment horizontal="right" vertical="top" wrapText="1" readingOrder="2"/>
    </xf>
    <xf numFmtId="0" fontId="1" fillId="5" borderId="8" xfId="0" applyFont="1" applyFill="1" applyBorder="1" applyAlignment="1">
      <alignment horizontal="right" vertical="top" wrapText="1" readingOrder="2"/>
    </xf>
    <xf numFmtId="0" fontId="1" fillId="5" borderId="1" xfId="0" applyFont="1" applyFill="1" applyBorder="1" applyAlignment="1">
      <alignment horizontal="right" vertical="top" wrapText="1"/>
    </xf>
    <xf numFmtId="0" fontId="1" fillId="5" borderId="2" xfId="0" applyFont="1" applyFill="1" applyBorder="1" applyAlignment="1">
      <alignment horizontal="right" vertical="top" wrapText="1"/>
    </xf>
    <xf numFmtId="0" fontId="1" fillId="5" borderId="3" xfId="0" applyFont="1" applyFill="1" applyBorder="1" applyAlignment="1">
      <alignment horizontal="right" vertical="top" wrapText="1"/>
    </xf>
    <xf numFmtId="0" fontId="1" fillId="5" borderId="4" xfId="0" applyFont="1" applyFill="1" applyBorder="1" applyAlignment="1">
      <alignment horizontal="right" vertical="top" wrapText="1"/>
    </xf>
    <xf numFmtId="0" fontId="1" fillId="5" borderId="0" xfId="0" applyFont="1" applyFill="1" applyBorder="1" applyAlignment="1">
      <alignment horizontal="right" vertical="top" wrapText="1"/>
    </xf>
    <xf numFmtId="0" fontId="1" fillId="5" borderId="5" xfId="0" applyFont="1" applyFill="1" applyBorder="1" applyAlignment="1">
      <alignment horizontal="right" vertical="top" wrapText="1"/>
    </xf>
    <xf numFmtId="0" fontId="1" fillId="5" borderId="6" xfId="0" applyFont="1" applyFill="1" applyBorder="1" applyAlignment="1">
      <alignment horizontal="right" vertical="top" wrapText="1"/>
    </xf>
    <xf numFmtId="0" fontId="1" fillId="5" borderId="7" xfId="0" applyFont="1" applyFill="1" applyBorder="1" applyAlignment="1">
      <alignment horizontal="right" vertical="top" wrapText="1"/>
    </xf>
    <xf numFmtId="0" fontId="1" fillId="5" borderId="8" xfId="0" applyFont="1" applyFill="1" applyBorder="1" applyAlignment="1">
      <alignment horizontal="right" vertical="top" wrapText="1"/>
    </xf>
    <xf numFmtId="0" fontId="4" fillId="5" borderId="0" xfId="0" applyFont="1" applyFill="1" applyAlignment="1">
      <alignment horizontal="center" vertical="center" wrapText="1"/>
    </xf>
    <xf numFmtId="0" fontId="0" fillId="5" borderId="4" xfId="0" applyFill="1" applyBorder="1" applyAlignment="1">
      <alignment horizontal="center" vertical="top" readingOrder="2"/>
    </xf>
    <xf numFmtId="0" fontId="0" fillId="5" borderId="0" xfId="0" applyFill="1" applyBorder="1" applyAlignment="1">
      <alignment horizontal="center" vertical="top" readingOrder="2"/>
    </xf>
    <xf numFmtId="0" fontId="0" fillId="5" borderId="5" xfId="0" applyFill="1" applyBorder="1" applyAlignment="1">
      <alignment horizontal="center" vertical="top" readingOrder="2"/>
    </xf>
    <xf numFmtId="0" fontId="0" fillId="5" borderId="10" xfId="0" applyFill="1" applyBorder="1" applyAlignment="1">
      <alignment horizontal="right" vertical="top"/>
    </xf>
    <xf numFmtId="0" fontId="0" fillId="5" borderId="11" xfId="0" applyFill="1" applyBorder="1" applyAlignment="1">
      <alignment horizontal="right" vertical="top"/>
    </xf>
    <xf numFmtId="0" fontId="1" fillId="5" borderId="1" xfId="0" applyFont="1" applyFill="1" applyBorder="1" applyAlignment="1">
      <alignment horizontal="center" vertical="top" wrapText="1" readingOrder="2"/>
    </xf>
    <xf numFmtId="0" fontId="1" fillId="5" borderId="2" xfId="0" applyFont="1" applyFill="1" applyBorder="1" applyAlignment="1">
      <alignment horizontal="center" vertical="top" wrapText="1" readingOrder="2"/>
    </xf>
    <xf numFmtId="0" fontId="1" fillId="5" borderId="3" xfId="0" applyFont="1" applyFill="1" applyBorder="1" applyAlignment="1">
      <alignment horizontal="center" vertical="top" wrapText="1" readingOrder="2"/>
    </xf>
    <xf numFmtId="0" fontId="1" fillId="5" borderId="9" xfId="0" applyFont="1" applyFill="1" applyBorder="1" applyAlignment="1">
      <alignment horizontal="right" vertical="top" wrapText="1"/>
    </xf>
    <xf numFmtId="0" fontId="1" fillId="5" borderId="10" xfId="0" applyFont="1" applyFill="1" applyBorder="1" applyAlignment="1">
      <alignment horizontal="right" vertical="top" wrapText="1"/>
    </xf>
    <xf numFmtId="0" fontId="1" fillId="5" borderId="4" xfId="0" applyFont="1" applyFill="1" applyBorder="1" applyAlignment="1">
      <alignment horizontal="center" vertical="top" wrapText="1" readingOrder="2"/>
    </xf>
    <xf numFmtId="0" fontId="1" fillId="5" borderId="0" xfId="0" applyFont="1" applyFill="1" applyBorder="1" applyAlignment="1">
      <alignment horizontal="center" vertical="top" wrapText="1" readingOrder="2"/>
    </xf>
    <xf numFmtId="0" fontId="1" fillId="5" borderId="5" xfId="0" applyFont="1" applyFill="1" applyBorder="1" applyAlignment="1">
      <alignment horizontal="center" vertical="top" wrapText="1" readingOrder="2"/>
    </xf>
    <xf numFmtId="0" fontId="1" fillId="5" borderId="6" xfId="0" applyFont="1" applyFill="1" applyBorder="1" applyAlignment="1">
      <alignment horizontal="center" vertical="top" wrapText="1" readingOrder="2"/>
    </xf>
    <xf numFmtId="0" fontId="1" fillId="5" borderId="7" xfId="0" applyFont="1" applyFill="1" applyBorder="1" applyAlignment="1">
      <alignment horizontal="center" vertical="top" wrapText="1" readingOrder="2"/>
    </xf>
    <xf numFmtId="0" fontId="1" fillId="5" borderId="8" xfId="0" applyFont="1" applyFill="1" applyBorder="1" applyAlignment="1">
      <alignment horizontal="center" vertical="top" wrapText="1" readingOrder="2"/>
    </xf>
    <xf numFmtId="0" fontId="4" fillId="6" borderId="0" xfId="0" applyFont="1" applyFill="1" applyAlignment="1">
      <alignment horizontal="center" vertical="center" wrapText="1"/>
    </xf>
    <xf numFmtId="14" fontId="1" fillId="5" borderId="1" xfId="0" applyNumberFormat="1" applyFont="1" applyFill="1" applyBorder="1" applyAlignment="1">
      <alignment horizontal="center" vertical="top" wrapText="1" readingOrder="2"/>
    </xf>
    <xf numFmtId="14" fontId="1" fillId="5" borderId="2" xfId="0" applyNumberFormat="1" applyFont="1" applyFill="1" applyBorder="1" applyAlignment="1">
      <alignment horizontal="center" vertical="top" wrapText="1" readingOrder="2"/>
    </xf>
    <xf numFmtId="14" fontId="1" fillId="5" borderId="3" xfId="0" applyNumberFormat="1" applyFont="1" applyFill="1" applyBorder="1" applyAlignment="1">
      <alignment horizontal="center" vertical="top" wrapText="1" readingOrder="2"/>
    </xf>
    <xf numFmtId="0" fontId="7" fillId="4" borderId="0" xfId="0" applyFont="1" applyFill="1" applyAlignment="1">
      <alignment horizontal="center" vertical="top" wrapText="1"/>
    </xf>
  </cellXfs>
  <cellStyles count="2">
    <cellStyle name="Hyperlink" xfId="1" builtinId="8"/>
    <cellStyle name="Normal" xfId="0" builtinId="0"/>
  </cellStyles>
  <dxfs count="0"/>
  <tableStyles count="0" defaultTableStyle="TableStyleMedium2" defaultPivotStyle="PivotStyleLight16"/>
  <colors>
    <mruColors>
      <color rgb="FFF66B16"/>
      <color rgb="FF843D0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TBH!A1"/><Relationship Id="rId7" Type="http://schemas.openxmlformats.org/officeDocument/2006/relationships/hyperlink" Target="#Support!A1"/><Relationship Id="rId2" Type="http://schemas.openxmlformats.org/officeDocument/2006/relationships/hyperlink" Target="#AHB!A1"/><Relationship Id="rId1" Type="http://schemas.openxmlformats.org/officeDocument/2006/relationships/hyperlink" Target="#Help!A1"/><Relationship Id="rId6" Type="http://schemas.openxmlformats.org/officeDocument/2006/relationships/hyperlink" Target="#Tip!A1"/><Relationship Id="rId5" Type="http://schemas.openxmlformats.org/officeDocument/2006/relationships/hyperlink" Target="#Convert!A1"/><Relationship Id="rId4" Type="http://schemas.openxmlformats.org/officeDocument/2006/relationships/hyperlink" Target="#JCalc!A1"/></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Index!A1"/><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dex!A1"/><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Index!A1"/></Relationships>
</file>

<file path=xl/drawings/drawing1.xml><?xml version="1.0" encoding="utf-8"?>
<xdr:wsDr xmlns:xdr="http://schemas.openxmlformats.org/drawingml/2006/spreadsheetDrawing" xmlns:a="http://schemas.openxmlformats.org/drawingml/2006/main">
  <xdr:twoCellAnchor>
    <xdr:from>
      <xdr:col>1</xdr:col>
      <xdr:colOff>572609</xdr:colOff>
      <xdr:row>3</xdr:row>
      <xdr:rowOff>54809</xdr:rowOff>
    </xdr:from>
    <xdr:to>
      <xdr:col>4</xdr:col>
      <xdr:colOff>301023</xdr:colOff>
      <xdr:row>5</xdr:row>
      <xdr:rowOff>7185</xdr:rowOff>
    </xdr:to>
    <xdr:sp macro="" textlink="">
      <xdr:nvSpPr>
        <xdr:cNvPr id="2" name="Rounded Rectangle 1">
          <a:hlinkClick xmlns:r="http://schemas.openxmlformats.org/officeDocument/2006/relationships" r:id="rId1"/>
        </xdr:cNvPr>
        <xdr:cNvSpPr/>
      </xdr:nvSpPr>
      <xdr:spPr>
        <a:xfrm>
          <a:off x="572609" y="816809"/>
          <a:ext cx="1561155" cy="33337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fa-IR" sz="800" b="1">
              <a:latin typeface="Tahoma" pitchFamily="34" charset="0"/>
              <a:ea typeface="Tahoma" pitchFamily="34" charset="0"/>
              <a:cs typeface="Tahoma" pitchFamily="34" charset="0"/>
            </a:rPr>
            <a:t>فعال کردن ماکروها</a:t>
          </a:r>
          <a:endParaRPr lang="en-US" sz="800" b="1">
            <a:latin typeface="Tahoma" pitchFamily="34" charset="0"/>
            <a:ea typeface="Tahoma" pitchFamily="34" charset="0"/>
            <a:cs typeface="Tahoma" pitchFamily="34" charset="0"/>
          </a:endParaRPr>
        </a:p>
      </xdr:txBody>
    </xdr:sp>
    <xdr:clientData/>
  </xdr:twoCellAnchor>
  <xdr:twoCellAnchor>
    <xdr:from>
      <xdr:col>1</xdr:col>
      <xdr:colOff>557213</xdr:colOff>
      <xdr:row>8</xdr:row>
      <xdr:rowOff>58142</xdr:rowOff>
    </xdr:from>
    <xdr:to>
      <xdr:col>4</xdr:col>
      <xdr:colOff>265510</xdr:colOff>
      <xdr:row>10</xdr:row>
      <xdr:rowOff>10518</xdr:rowOff>
    </xdr:to>
    <xdr:sp macro="" textlink="">
      <xdr:nvSpPr>
        <xdr:cNvPr id="3" name="Rounded Rectangle 2">
          <a:hlinkClick xmlns:r="http://schemas.openxmlformats.org/officeDocument/2006/relationships" r:id="rId2"/>
        </xdr:cNvPr>
        <xdr:cNvSpPr/>
      </xdr:nvSpPr>
      <xdr:spPr>
        <a:xfrm>
          <a:off x="1101499" y="1323606"/>
          <a:ext cx="1545261" cy="333376"/>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fa-IR" sz="800">
              <a:latin typeface="Tahoma" pitchFamily="34" charset="0"/>
              <a:ea typeface="Tahoma" pitchFamily="34" charset="0"/>
              <a:cs typeface="Tahoma" pitchFamily="34" charset="0"/>
            </a:rPr>
            <a:t>مثال‌های</a:t>
          </a:r>
          <a:r>
            <a:rPr lang="fa-IR" sz="800" baseline="0">
              <a:latin typeface="Tahoma" pitchFamily="34" charset="0"/>
              <a:ea typeface="Tahoma" pitchFamily="34" charset="0"/>
              <a:cs typeface="Tahoma" pitchFamily="34" charset="0"/>
            </a:rPr>
            <a:t> تبدیل عدد به حروف</a:t>
          </a:r>
          <a:endParaRPr lang="en-US" sz="800">
            <a:latin typeface="Tahoma" pitchFamily="34" charset="0"/>
            <a:ea typeface="Tahoma" pitchFamily="34" charset="0"/>
            <a:cs typeface="Tahoma" pitchFamily="34" charset="0"/>
          </a:endParaRPr>
        </a:p>
      </xdr:txBody>
    </xdr:sp>
    <xdr:clientData/>
  </xdr:twoCellAnchor>
  <xdr:twoCellAnchor>
    <xdr:from>
      <xdr:col>1</xdr:col>
      <xdr:colOff>557213</xdr:colOff>
      <xdr:row>10</xdr:row>
      <xdr:rowOff>128191</xdr:rowOff>
    </xdr:from>
    <xdr:to>
      <xdr:col>4</xdr:col>
      <xdr:colOff>265510</xdr:colOff>
      <xdr:row>12</xdr:row>
      <xdr:rowOff>80567</xdr:rowOff>
    </xdr:to>
    <xdr:sp macro="" textlink="">
      <xdr:nvSpPr>
        <xdr:cNvPr id="4" name="Rounded Rectangle 3">
          <a:hlinkClick xmlns:r="http://schemas.openxmlformats.org/officeDocument/2006/relationships" r:id="rId3"/>
        </xdr:cNvPr>
        <xdr:cNvSpPr/>
      </xdr:nvSpPr>
      <xdr:spPr>
        <a:xfrm>
          <a:off x="1101499" y="1774655"/>
          <a:ext cx="1545261" cy="333376"/>
        </a:xfrm>
        <a:prstGeom prst="round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fa-IR" sz="800">
              <a:latin typeface="Tahoma" pitchFamily="34" charset="0"/>
              <a:ea typeface="Tahoma" pitchFamily="34" charset="0"/>
              <a:cs typeface="Tahoma" pitchFamily="34" charset="0"/>
            </a:rPr>
            <a:t>مثال‌های</a:t>
          </a:r>
          <a:r>
            <a:rPr lang="fa-IR" sz="800" baseline="0">
              <a:latin typeface="Tahoma" pitchFamily="34" charset="0"/>
              <a:ea typeface="Tahoma" pitchFamily="34" charset="0"/>
              <a:cs typeface="Tahoma" pitchFamily="34" charset="0"/>
            </a:rPr>
            <a:t> تاریخ به حروف</a:t>
          </a:r>
          <a:endParaRPr lang="en-US" sz="800">
            <a:latin typeface="Tahoma" pitchFamily="34" charset="0"/>
            <a:ea typeface="Tahoma" pitchFamily="34" charset="0"/>
            <a:cs typeface="Tahoma" pitchFamily="34" charset="0"/>
          </a:endParaRPr>
        </a:p>
      </xdr:txBody>
    </xdr:sp>
    <xdr:clientData/>
  </xdr:twoCellAnchor>
  <xdr:twoCellAnchor>
    <xdr:from>
      <xdr:col>1</xdr:col>
      <xdr:colOff>557213</xdr:colOff>
      <xdr:row>13</xdr:row>
      <xdr:rowOff>7740</xdr:rowOff>
    </xdr:from>
    <xdr:to>
      <xdr:col>4</xdr:col>
      <xdr:colOff>265510</xdr:colOff>
      <xdr:row>14</xdr:row>
      <xdr:rowOff>150616</xdr:rowOff>
    </xdr:to>
    <xdr:sp macro="" textlink="">
      <xdr:nvSpPr>
        <xdr:cNvPr id="5" name="Rounded Rectangle 4">
          <a:hlinkClick xmlns:r="http://schemas.openxmlformats.org/officeDocument/2006/relationships" r:id="rId4"/>
        </xdr:cNvPr>
        <xdr:cNvSpPr/>
      </xdr:nvSpPr>
      <xdr:spPr>
        <a:xfrm>
          <a:off x="1101499" y="2225704"/>
          <a:ext cx="1545261" cy="333376"/>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a-IR" sz="800">
              <a:latin typeface="Tahoma" pitchFamily="34" charset="0"/>
              <a:ea typeface="Tahoma" pitchFamily="34" charset="0"/>
              <a:cs typeface="Tahoma" pitchFamily="34" charset="0"/>
            </a:rPr>
            <a:t>محاسبات تاریخ شمسی</a:t>
          </a:r>
          <a:endParaRPr lang="en-US" sz="800">
            <a:latin typeface="Tahoma" pitchFamily="34" charset="0"/>
            <a:ea typeface="Tahoma" pitchFamily="34" charset="0"/>
            <a:cs typeface="Tahoma" pitchFamily="34" charset="0"/>
          </a:endParaRPr>
        </a:p>
      </xdr:txBody>
    </xdr:sp>
    <xdr:clientData/>
  </xdr:twoCellAnchor>
  <xdr:twoCellAnchor>
    <xdr:from>
      <xdr:col>4</xdr:col>
      <xdr:colOff>479823</xdr:colOff>
      <xdr:row>8</xdr:row>
      <xdr:rowOff>65883</xdr:rowOff>
    </xdr:from>
    <xdr:to>
      <xdr:col>7</xdr:col>
      <xdr:colOff>188119</xdr:colOff>
      <xdr:row>10</xdr:row>
      <xdr:rowOff>18259</xdr:rowOff>
    </xdr:to>
    <xdr:sp macro="" textlink="">
      <xdr:nvSpPr>
        <xdr:cNvPr id="6" name="Rounded Rectangle 5">
          <a:hlinkClick xmlns:r="http://schemas.openxmlformats.org/officeDocument/2006/relationships" r:id="rId5"/>
        </xdr:cNvPr>
        <xdr:cNvSpPr/>
      </xdr:nvSpPr>
      <xdr:spPr>
        <a:xfrm>
          <a:off x="2861073" y="1331347"/>
          <a:ext cx="1545260" cy="333376"/>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fa-IR" sz="800">
              <a:latin typeface="Tahoma" pitchFamily="34" charset="0"/>
              <a:ea typeface="Tahoma" pitchFamily="34" charset="0"/>
              <a:cs typeface="Tahoma" pitchFamily="34" charset="0"/>
            </a:rPr>
            <a:t>تبدیل میلادی - شمسی</a:t>
          </a:r>
          <a:endParaRPr lang="en-US" sz="800">
            <a:latin typeface="Tahoma" pitchFamily="34" charset="0"/>
            <a:ea typeface="Tahoma" pitchFamily="34" charset="0"/>
            <a:cs typeface="Tahoma" pitchFamily="34" charset="0"/>
          </a:endParaRPr>
        </a:p>
      </xdr:txBody>
    </xdr:sp>
    <xdr:clientData/>
  </xdr:twoCellAnchor>
  <xdr:twoCellAnchor>
    <xdr:from>
      <xdr:col>4</xdr:col>
      <xdr:colOff>479823</xdr:colOff>
      <xdr:row>10</xdr:row>
      <xdr:rowOff>135932</xdr:rowOff>
    </xdr:from>
    <xdr:to>
      <xdr:col>7</xdr:col>
      <xdr:colOff>188119</xdr:colOff>
      <xdr:row>12</xdr:row>
      <xdr:rowOff>88308</xdr:rowOff>
    </xdr:to>
    <xdr:sp macro="" textlink="">
      <xdr:nvSpPr>
        <xdr:cNvPr id="7" name="Rounded Rectangle 6">
          <a:hlinkClick xmlns:r="http://schemas.openxmlformats.org/officeDocument/2006/relationships" r:id="rId6"/>
        </xdr:cNvPr>
        <xdr:cNvSpPr/>
      </xdr:nvSpPr>
      <xdr:spPr>
        <a:xfrm>
          <a:off x="2861073" y="1782396"/>
          <a:ext cx="1545260" cy="333376"/>
        </a:xfrm>
        <a:prstGeom prst="round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lang="fa-IR" sz="800">
              <a:latin typeface="Tahoma" pitchFamily="34" charset="0"/>
              <a:ea typeface="Tahoma" pitchFamily="34" charset="0"/>
              <a:cs typeface="Tahoma" pitchFamily="34" charset="0"/>
            </a:rPr>
            <a:t>نکات</a:t>
          </a:r>
          <a:r>
            <a:rPr lang="fa-IR" sz="800" baseline="0">
              <a:latin typeface="Tahoma" pitchFamily="34" charset="0"/>
              <a:ea typeface="Tahoma" pitchFamily="34" charset="0"/>
              <a:cs typeface="Tahoma" pitchFamily="34" charset="0"/>
            </a:rPr>
            <a:t> مفید</a:t>
          </a:r>
          <a:endParaRPr lang="en-US" sz="800">
            <a:latin typeface="Tahoma" pitchFamily="34" charset="0"/>
            <a:ea typeface="Tahoma" pitchFamily="34" charset="0"/>
            <a:cs typeface="Tahoma" pitchFamily="34" charset="0"/>
          </a:endParaRPr>
        </a:p>
      </xdr:txBody>
    </xdr:sp>
    <xdr:clientData/>
  </xdr:twoCellAnchor>
  <xdr:twoCellAnchor>
    <xdr:from>
      <xdr:col>4</xdr:col>
      <xdr:colOff>479823</xdr:colOff>
      <xdr:row>13</xdr:row>
      <xdr:rowOff>15481</xdr:rowOff>
    </xdr:from>
    <xdr:to>
      <xdr:col>7</xdr:col>
      <xdr:colOff>188119</xdr:colOff>
      <xdr:row>14</xdr:row>
      <xdr:rowOff>158357</xdr:rowOff>
    </xdr:to>
    <xdr:sp macro="" textlink="">
      <xdr:nvSpPr>
        <xdr:cNvPr id="9" name="Rounded Rectangle 8">
          <a:hlinkClick xmlns:r="http://schemas.openxmlformats.org/officeDocument/2006/relationships" r:id="rId7"/>
        </xdr:cNvPr>
        <xdr:cNvSpPr/>
      </xdr:nvSpPr>
      <xdr:spPr>
        <a:xfrm>
          <a:off x="2861073" y="2233445"/>
          <a:ext cx="1545260" cy="33337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fa-IR" sz="800">
              <a:latin typeface="Tahoma" pitchFamily="34" charset="0"/>
              <a:ea typeface="Tahoma" pitchFamily="34" charset="0"/>
              <a:cs typeface="Tahoma" pitchFamily="34" charset="0"/>
            </a:rPr>
            <a:t>پشتیانی فنی و مشاوره</a:t>
          </a:r>
          <a:endParaRPr lang="en-US" sz="800">
            <a:latin typeface="Tahoma" pitchFamily="34" charset="0"/>
            <a:ea typeface="Tahoma" pitchFamily="34" charset="0"/>
            <a:cs typeface="Tahoma"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149086</xdr:colOff>
      <xdr:row>42</xdr:row>
      <xdr:rowOff>22923</xdr:rowOff>
    </xdr:from>
    <xdr:to>
      <xdr:col>6</xdr:col>
      <xdr:colOff>414129</xdr:colOff>
      <xdr:row>55</xdr:row>
      <xdr:rowOff>10010</xdr:rowOff>
    </xdr:to>
    <xdr:pic>
      <xdr:nvPicPr>
        <xdr:cNvPr id="11" name="Picture 10"/>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74912" y="8173010"/>
          <a:ext cx="2716695" cy="2463587"/>
        </a:xfrm>
        <a:prstGeom prst="rect">
          <a:avLst/>
        </a:prstGeom>
      </xdr:spPr>
    </xdr:pic>
    <xdr:clientData/>
  </xdr:twoCellAnchor>
  <xdr:twoCellAnchor editAs="oneCell">
    <xdr:from>
      <xdr:col>0</xdr:col>
      <xdr:colOff>276226</xdr:colOff>
      <xdr:row>11</xdr:row>
      <xdr:rowOff>123826</xdr:rowOff>
    </xdr:from>
    <xdr:to>
      <xdr:col>8</xdr:col>
      <xdr:colOff>583132</xdr:colOff>
      <xdr:row>14</xdr:row>
      <xdr:rowOff>142875</xdr:rowOff>
    </xdr:to>
    <xdr:pic>
      <xdr:nvPicPr>
        <xdr:cNvPr id="3" name="Picture 2"/>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276226" y="2295526"/>
          <a:ext cx="5183706" cy="590549"/>
        </a:xfrm>
        <a:prstGeom prst="rect">
          <a:avLst/>
        </a:prstGeom>
      </xdr:spPr>
    </xdr:pic>
    <xdr:clientData/>
  </xdr:twoCellAnchor>
  <xdr:twoCellAnchor editAs="oneCell">
    <xdr:from>
      <xdr:col>2</xdr:col>
      <xdr:colOff>157370</xdr:colOff>
      <xdr:row>17</xdr:row>
      <xdr:rowOff>182219</xdr:rowOff>
    </xdr:from>
    <xdr:to>
      <xdr:col>6</xdr:col>
      <xdr:colOff>521805</xdr:colOff>
      <xdr:row>24</xdr:row>
      <xdr:rowOff>83957</xdr:rowOff>
    </xdr:to>
    <xdr:pic>
      <xdr:nvPicPr>
        <xdr:cNvPr id="4" name="Picture 3"/>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383196" y="3495262"/>
          <a:ext cx="2816087" cy="1235238"/>
        </a:xfrm>
        <a:prstGeom prst="rect">
          <a:avLst/>
        </a:prstGeom>
      </xdr:spPr>
    </xdr:pic>
    <xdr:clientData/>
  </xdr:twoCellAnchor>
  <xdr:twoCellAnchor>
    <xdr:from>
      <xdr:col>8</xdr:col>
      <xdr:colOff>190501</xdr:colOff>
      <xdr:row>11</xdr:row>
      <xdr:rowOff>157370</xdr:rowOff>
    </xdr:from>
    <xdr:to>
      <xdr:col>8</xdr:col>
      <xdr:colOff>488674</xdr:colOff>
      <xdr:row>13</xdr:row>
      <xdr:rowOff>115958</xdr:rowOff>
    </xdr:to>
    <xdr:cxnSp macro="">
      <xdr:nvCxnSpPr>
        <xdr:cNvPr id="6" name="Straight Arrow Connector 5"/>
        <xdr:cNvCxnSpPr/>
      </xdr:nvCxnSpPr>
      <xdr:spPr>
        <a:xfrm flipH="1">
          <a:off x="5093805" y="2327413"/>
          <a:ext cx="298173" cy="339588"/>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49698</xdr:colOff>
      <xdr:row>20</xdr:row>
      <xdr:rowOff>149087</xdr:rowOff>
    </xdr:from>
    <xdr:to>
      <xdr:col>6</xdr:col>
      <xdr:colOff>347871</xdr:colOff>
      <xdr:row>22</xdr:row>
      <xdr:rowOff>107675</xdr:rowOff>
    </xdr:to>
    <xdr:cxnSp macro="">
      <xdr:nvCxnSpPr>
        <xdr:cNvPr id="8" name="Straight Arrow Connector 7"/>
        <xdr:cNvCxnSpPr/>
      </xdr:nvCxnSpPr>
      <xdr:spPr>
        <a:xfrm flipH="1">
          <a:off x="3727176" y="4033630"/>
          <a:ext cx="298173" cy="339588"/>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2</xdr:col>
      <xdr:colOff>182219</xdr:colOff>
      <xdr:row>29</xdr:row>
      <xdr:rowOff>33130</xdr:rowOff>
    </xdr:from>
    <xdr:to>
      <xdr:col>6</xdr:col>
      <xdr:colOff>372719</xdr:colOff>
      <xdr:row>38</xdr:row>
      <xdr:rowOff>25774</xdr:rowOff>
    </xdr:to>
    <xdr:pic>
      <xdr:nvPicPr>
        <xdr:cNvPr id="9" name="Picture 8"/>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408045" y="5706717"/>
          <a:ext cx="2642152" cy="1707144"/>
        </a:xfrm>
        <a:prstGeom prst="rect">
          <a:avLst/>
        </a:prstGeom>
      </xdr:spPr>
    </xdr:pic>
    <xdr:clientData/>
  </xdr:twoCellAnchor>
  <xdr:twoCellAnchor>
    <xdr:from>
      <xdr:col>2</xdr:col>
      <xdr:colOff>447262</xdr:colOff>
      <xdr:row>50</xdr:row>
      <xdr:rowOff>24848</xdr:rowOff>
    </xdr:from>
    <xdr:to>
      <xdr:col>3</xdr:col>
      <xdr:colOff>41413</xdr:colOff>
      <xdr:row>52</xdr:row>
      <xdr:rowOff>66261</xdr:rowOff>
    </xdr:to>
    <xdr:cxnSp macro="">
      <xdr:nvCxnSpPr>
        <xdr:cNvPr id="10" name="Straight Arrow Connector 9"/>
        <xdr:cNvCxnSpPr/>
      </xdr:nvCxnSpPr>
      <xdr:spPr>
        <a:xfrm flipH="1" flipV="1">
          <a:off x="1673088" y="9698935"/>
          <a:ext cx="207064" cy="422413"/>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588067</xdr:colOff>
      <xdr:row>35</xdr:row>
      <xdr:rowOff>91109</xdr:rowOff>
    </xdr:from>
    <xdr:to>
      <xdr:col>6</xdr:col>
      <xdr:colOff>182218</xdr:colOff>
      <xdr:row>37</xdr:row>
      <xdr:rowOff>132522</xdr:rowOff>
    </xdr:to>
    <xdr:cxnSp macro="">
      <xdr:nvCxnSpPr>
        <xdr:cNvPr id="16" name="Straight Arrow Connector 15"/>
        <xdr:cNvCxnSpPr/>
      </xdr:nvCxnSpPr>
      <xdr:spPr>
        <a:xfrm flipH="1" flipV="1">
          <a:off x="3652632" y="6907696"/>
          <a:ext cx="207064" cy="422413"/>
        </a:xfrm>
        <a:prstGeom prst="straightConnector1">
          <a:avLst/>
        </a:prstGeom>
        <a:ln>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0</xdr:col>
      <xdr:colOff>149087</xdr:colOff>
      <xdr:row>0</xdr:row>
      <xdr:rowOff>49696</xdr:rowOff>
    </xdr:from>
    <xdr:to>
      <xdr:col>0</xdr:col>
      <xdr:colOff>554935</xdr:colOff>
      <xdr:row>2</xdr:row>
      <xdr:rowOff>74544</xdr:rowOff>
    </xdr:to>
    <xdr:pic>
      <xdr:nvPicPr>
        <xdr:cNvPr id="17" name="Picture 16">
          <a:hlinkClick xmlns:r="http://schemas.openxmlformats.org/officeDocument/2006/relationships" r:id="rId5"/>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a:ext>
          </a:extLst>
        </a:blip>
        <a:stretch>
          <a:fillRect/>
        </a:stretch>
      </xdr:blipFill>
      <xdr:spPr>
        <a:xfrm>
          <a:off x="149087" y="49696"/>
          <a:ext cx="405848" cy="4058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25977</xdr:colOff>
      <xdr:row>0</xdr:row>
      <xdr:rowOff>34636</xdr:rowOff>
    </xdr:from>
    <xdr:to>
      <xdr:col>0</xdr:col>
      <xdr:colOff>431825</xdr:colOff>
      <xdr:row>2</xdr:row>
      <xdr:rowOff>59484</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25977" y="34636"/>
          <a:ext cx="405848" cy="4058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472965</xdr:colOff>
      <xdr:row>13</xdr:row>
      <xdr:rowOff>12148</xdr:rowOff>
    </xdr:from>
    <xdr:to>
      <xdr:col>2</xdr:col>
      <xdr:colOff>446690</xdr:colOff>
      <xdr:row>18</xdr:row>
      <xdr:rowOff>189197</xdr:rowOff>
    </xdr:to>
    <xdr:pic>
      <xdr:nvPicPr>
        <xdr:cNvPr id="3" name="Picture 2"/>
        <xdr:cNvPicPr>
          <a:picLocks noChangeAspect="1"/>
        </xdr:cNvPicPr>
      </xdr:nvPicPr>
      <xdr:blipFill>
        <a:blip xmlns:r="http://schemas.openxmlformats.org/officeDocument/2006/relationships" r:embed="rId1"/>
        <a:stretch>
          <a:fillRect/>
        </a:stretch>
      </xdr:blipFill>
      <xdr:spPr>
        <a:xfrm>
          <a:off x="1471448" y="5155648"/>
          <a:ext cx="1090449" cy="1129549"/>
        </a:xfrm>
        <a:prstGeom prst="rect">
          <a:avLst/>
        </a:prstGeom>
      </xdr:spPr>
    </xdr:pic>
    <xdr:clientData/>
  </xdr:twoCellAnchor>
  <xdr:twoCellAnchor editAs="oneCell">
    <xdr:from>
      <xdr:col>0</xdr:col>
      <xdr:colOff>123825</xdr:colOff>
      <xdr:row>0</xdr:row>
      <xdr:rowOff>114300</xdr:rowOff>
    </xdr:from>
    <xdr:to>
      <xdr:col>0</xdr:col>
      <xdr:colOff>529673</xdr:colOff>
      <xdr:row>2</xdr:row>
      <xdr:rowOff>34373</xdr:rowOff>
    </xdr:to>
    <xdr:pic>
      <xdr:nvPicPr>
        <xdr:cNvPr id="4" name="Picture 3">
          <a:hlinkClick xmlns:r="http://schemas.openxmlformats.org/officeDocument/2006/relationships" r:id="rId2"/>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3825" y="114300"/>
          <a:ext cx="405848" cy="4058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405848</xdr:colOff>
      <xdr:row>2</xdr:row>
      <xdr:rowOff>24848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405848" cy="4058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405848</xdr:colOff>
      <xdr:row>2</xdr:row>
      <xdr:rowOff>24848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405848" cy="40584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405848</xdr:colOff>
      <xdr:row>2</xdr:row>
      <xdr:rowOff>24848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405848" cy="4058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405848</xdr:colOff>
      <xdr:row>1</xdr:row>
      <xdr:rowOff>215348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405848" cy="40584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hyperlink" Target="http://www.farsaran.com/contact" TargetMode="External"/><Relationship Id="rId2" Type="http://schemas.openxmlformats.org/officeDocument/2006/relationships/hyperlink" Target="http://www.farsaran.com/class" TargetMode="External"/><Relationship Id="rId1" Type="http://schemas.openxmlformats.org/officeDocument/2006/relationships/hyperlink" Target="http://forum.farsaran.com/index.php?board=3.0"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dex"/>
  <dimension ref="A1:I18"/>
  <sheetViews>
    <sheetView showGridLines="0" showRowColHeaders="0" tabSelected="1" zoomScale="110" zoomScaleNormal="110" workbookViewId="0">
      <selection activeCell="B17" sqref="B17:I18"/>
    </sheetView>
  </sheetViews>
  <sheetFormatPr defaultRowHeight="15" x14ac:dyDescent="0.25"/>
  <cols>
    <col min="1" max="1" width="8.140625" style="1" customWidth="1"/>
    <col min="2" max="3" width="9.140625" style="1" customWidth="1"/>
    <col min="4" max="16384" width="9.140625" style="1"/>
  </cols>
  <sheetData>
    <row r="1" spans="1:9" ht="15" customHeight="1" x14ac:dyDescent="0.25">
      <c r="A1" s="35" t="s">
        <v>48</v>
      </c>
      <c r="B1" s="35"/>
      <c r="C1" s="35"/>
      <c r="D1" s="35"/>
      <c r="E1" s="35"/>
      <c r="F1" s="35"/>
      <c r="G1" s="35"/>
      <c r="H1" s="35"/>
      <c r="I1" s="35"/>
    </row>
    <row r="2" spans="1:9" ht="33" customHeight="1" x14ac:dyDescent="0.25">
      <c r="A2" s="35"/>
      <c r="B2" s="35"/>
      <c r="C2" s="35"/>
      <c r="D2" s="35"/>
      <c r="E2" s="35"/>
      <c r="F2" s="35"/>
      <c r="G2" s="35"/>
      <c r="H2" s="35"/>
      <c r="I2" s="35"/>
    </row>
    <row r="3" spans="1:9" ht="4.5" customHeight="1" x14ac:dyDescent="0.25"/>
    <row r="4" spans="1:9" x14ac:dyDescent="0.25">
      <c r="F4" s="36" t="s">
        <v>47</v>
      </c>
      <c r="G4" s="36"/>
      <c r="H4" s="36"/>
      <c r="I4" s="36"/>
    </row>
    <row r="5" spans="1:9" x14ac:dyDescent="0.25">
      <c r="F5" s="36"/>
      <c r="G5" s="36"/>
      <c r="H5" s="36"/>
      <c r="I5" s="36"/>
    </row>
    <row r="6" spans="1:9" ht="6.75" customHeight="1" x14ac:dyDescent="0.25"/>
    <row r="7" spans="1:9" s="2" customFormat="1" ht="0.75" customHeight="1" x14ac:dyDescent="0.25"/>
    <row r="8" spans="1:9" ht="9.75" customHeight="1" x14ac:dyDescent="0.25">
      <c r="E8" s="36"/>
      <c r="F8" s="36"/>
      <c r="G8" s="36"/>
      <c r="H8" s="36"/>
    </row>
    <row r="9" spans="1:9" x14ac:dyDescent="0.25">
      <c r="E9" s="36"/>
      <c r="F9" s="36"/>
      <c r="G9" s="36"/>
      <c r="H9" s="36"/>
    </row>
    <row r="11" spans="1:9" x14ac:dyDescent="0.25">
      <c r="E11" s="36"/>
      <c r="F11" s="36"/>
      <c r="G11" s="36"/>
      <c r="H11" s="36"/>
    </row>
    <row r="12" spans="1:9" x14ac:dyDescent="0.25">
      <c r="E12" s="36"/>
      <c r="F12" s="36"/>
      <c r="G12" s="36"/>
      <c r="H12" s="36"/>
    </row>
    <row r="13" spans="1:9" x14ac:dyDescent="0.25">
      <c r="E13" s="36"/>
      <c r="F13" s="36"/>
      <c r="G13" s="36"/>
      <c r="H13" s="36"/>
    </row>
    <row r="14" spans="1:9" x14ac:dyDescent="0.25">
      <c r="E14" s="36"/>
      <c r="F14" s="36"/>
      <c r="G14" s="36"/>
      <c r="H14" s="36"/>
    </row>
    <row r="16" spans="1:9" ht="19.5" customHeight="1" x14ac:dyDescent="0.25"/>
    <row r="17" spans="2:9" ht="15" customHeight="1" x14ac:dyDescent="0.25">
      <c r="B17" s="36" t="s">
        <v>46</v>
      </c>
      <c r="C17" s="36"/>
      <c r="D17" s="36"/>
      <c r="E17" s="36"/>
      <c r="F17" s="36"/>
      <c r="G17" s="36"/>
      <c r="H17" s="36"/>
      <c r="I17" s="36"/>
    </row>
    <row r="18" spans="2:9" x14ac:dyDescent="0.25">
      <c r="B18" s="36"/>
      <c r="C18" s="36"/>
      <c r="D18" s="36"/>
      <c r="E18" s="36"/>
      <c r="F18" s="36"/>
      <c r="G18" s="36"/>
      <c r="H18" s="36"/>
      <c r="I18" s="36"/>
    </row>
  </sheetData>
  <mergeCells count="6">
    <mergeCell ref="A1:I2"/>
    <mergeCell ref="B17:I18"/>
    <mergeCell ref="F4:I5"/>
    <mergeCell ref="E8:H9"/>
    <mergeCell ref="E11:H12"/>
    <mergeCell ref="E13:H14"/>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44"/>
  <sheetViews>
    <sheetView showGridLines="0" showRowColHeaders="0" zoomScaleNormal="100" workbookViewId="0">
      <selection sqref="A1:I2"/>
    </sheetView>
  </sheetViews>
  <sheetFormatPr defaultRowHeight="15" x14ac:dyDescent="0.25"/>
  <cols>
    <col min="1" max="16384" width="9.140625" style="1"/>
  </cols>
  <sheetData>
    <row r="1" spans="1:9" ht="15" customHeight="1" x14ac:dyDescent="0.25">
      <c r="A1" s="38" t="s">
        <v>26</v>
      </c>
      <c r="B1" s="38"/>
      <c r="C1" s="38"/>
      <c r="D1" s="38"/>
      <c r="E1" s="38"/>
      <c r="F1" s="38"/>
      <c r="G1" s="38"/>
      <c r="H1" s="38"/>
      <c r="I1" s="38"/>
    </row>
    <row r="2" spans="1:9" ht="15" customHeight="1" x14ac:dyDescent="0.25">
      <c r="A2" s="38"/>
      <c r="B2" s="38"/>
      <c r="C2" s="38"/>
      <c r="D2" s="38"/>
      <c r="E2" s="38"/>
      <c r="F2" s="38"/>
      <c r="G2" s="38"/>
      <c r="H2" s="38"/>
      <c r="I2" s="38"/>
    </row>
    <row r="3" spans="1:9" ht="15" customHeight="1" x14ac:dyDescent="0.25">
      <c r="A3" s="39" t="s">
        <v>27</v>
      </c>
      <c r="B3" s="39"/>
      <c r="C3" s="39"/>
      <c r="D3" s="39"/>
      <c r="E3" s="39"/>
      <c r="F3" s="39"/>
      <c r="G3" s="39"/>
      <c r="H3" s="39"/>
      <c r="I3" s="39"/>
    </row>
    <row r="4" spans="1:9" x14ac:dyDescent="0.25">
      <c r="F4" s="3"/>
      <c r="G4" s="3"/>
      <c r="H4" s="3"/>
      <c r="I4" s="3"/>
    </row>
    <row r="5" spans="1:9" x14ac:dyDescent="0.25">
      <c r="A5" s="37" t="s">
        <v>28</v>
      </c>
      <c r="B5" s="37"/>
      <c r="C5" s="37"/>
      <c r="D5" s="37"/>
      <c r="E5" s="37"/>
      <c r="F5" s="37"/>
      <c r="G5" s="37"/>
      <c r="H5" s="37"/>
      <c r="I5" s="37"/>
    </row>
    <row r="6" spans="1:9" x14ac:dyDescent="0.25">
      <c r="A6" s="37"/>
      <c r="B6" s="37"/>
      <c r="C6" s="37"/>
      <c r="D6" s="37"/>
      <c r="E6" s="37"/>
      <c r="F6" s="37"/>
      <c r="G6" s="37"/>
      <c r="H6" s="37"/>
      <c r="I6" s="37"/>
    </row>
    <row r="7" spans="1:9" x14ac:dyDescent="0.25">
      <c r="A7" s="37"/>
      <c r="B7" s="37"/>
      <c r="C7" s="37"/>
      <c r="D7" s="37"/>
      <c r="E7" s="37"/>
      <c r="F7" s="37"/>
      <c r="G7" s="37"/>
      <c r="H7" s="37"/>
      <c r="I7" s="37"/>
    </row>
    <row r="8" spans="1:9" x14ac:dyDescent="0.25">
      <c r="A8" s="37"/>
      <c r="B8" s="37"/>
      <c r="C8" s="37"/>
      <c r="D8" s="37"/>
      <c r="E8" s="37"/>
      <c r="F8" s="37"/>
      <c r="G8" s="37"/>
      <c r="H8" s="37"/>
      <c r="I8" s="37"/>
    </row>
    <row r="9" spans="1:9" ht="21" x14ac:dyDescent="0.35">
      <c r="I9" s="4" t="s">
        <v>29</v>
      </c>
    </row>
    <row r="10" spans="1:9" x14ac:dyDescent="0.25">
      <c r="A10" s="37" t="s">
        <v>30</v>
      </c>
      <c r="B10" s="37"/>
      <c r="C10" s="37"/>
      <c r="D10" s="37"/>
      <c r="E10" s="37"/>
      <c r="F10" s="37"/>
      <c r="G10" s="37"/>
      <c r="H10" s="37"/>
      <c r="I10" s="37"/>
    </row>
    <row r="11" spans="1:9" x14ac:dyDescent="0.25">
      <c r="A11" s="37"/>
      <c r="B11" s="37"/>
      <c r="C11" s="37"/>
      <c r="D11" s="37"/>
      <c r="E11" s="37"/>
      <c r="F11" s="37"/>
      <c r="G11" s="37"/>
      <c r="H11" s="37"/>
      <c r="I11" s="37"/>
    </row>
    <row r="12" spans="1:9" x14ac:dyDescent="0.25">
      <c r="A12" s="37"/>
      <c r="B12" s="37"/>
      <c r="C12" s="37"/>
      <c r="D12" s="37"/>
      <c r="E12" s="37"/>
      <c r="F12" s="37"/>
      <c r="G12" s="37"/>
      <c r="H12" s="37"/>
      <c r="I12" s="37"/>
    </row>
    <row r="13" spans="1:9" x14ac:dyDescent="0.25">
      <c r="A13" s="37"/>
      <c r="B13" s="37"/>
      <c r="C13" s="37"/>
      <c r="D13" s="37"/>
      <c r="E13" s="37"/>
      <c r="F13" s="37"/>
      <c r="G13" s="37"/>
      <c r="H13" s="37"/>
      <c r="I13" s="37"/>
    </row>
    <row r="17" spans="1:9" x14ac:dyDescent="0.25">
      <c r="A17" s="37" t="s">
        <v>31</v>
      </c>
      <c r="B17" s="37"/>
      <c r="C17" s="37"/>
      <c r="D17" s="37"/>
      <c r="E17" s="37"/>
      <c r="F17" s="37"/>
      <c r="G17" s="37"/>
      <c r="H17" s="37"/>
      <c r="I17" s="37"/>
    </row>
    <row r="18" spans="1:9" x14ac:dyDescent="0.25">
      <c r="A18" s="37"/>
      <c r="B18" s="37"/>
      <c r="C18" s="37"/>
      <c r="D18" s="37"/>
      <c r="E18" s="37"/>
      <c r="F18" s="37"/>
      <c r="G18" s="37"/>
      <c r="H18" s="37"/>
      <c r="I18" s="37"/>
    </row>
    <row r="19" spans="1:9" x14ac:dyDescent="0.25">
      <c r="A19" s="37"/>
      <c r="B19" s="37"/>
      <c r="C19" s="37"/>
      <c r="D19" s="37"/>
      <c r="E19" s="37"/>
      <c r="F19" s="37"/>
      <c r="G19" s="37"/>
      <c r="H19" s="37"/>
      <c r="I19" s="37"/>
    </row>
    <row r="20" spans="1:9" x14ac:dyDescent="0.25">
      <c r="A20" s="37"/>
      <c r="B20" s="37"/>
      <c r="C20" s="37"/>
      <c r="D20" s="37"/>
      <c r="E20" s="37"/>
      <c r="F20" s="37"/>
      <c r="G20" s="37"/>
      <c r="H20" s="37"/>
      <c r="I20" s="37"/>
    </row>
    <row r="27" spans="1:9" ht="21" x14ac:dyDescent="0.35">
      <c r="I27" s="4" t="s">
        <v>32</v>
      </c>
    </row>
    <row r="28" spans="1:9" x14ac:dyDescent="0.25">
      <c r="A28" s="37" t="s">
        <v>33</v>
      </c>
      <c r="B28" s="37"/>
      <c r="C28" s="37"/>
      <c r="D28" s="37"/>
      <c r="E28" s="37"/>
      <c r="F28" s="37"/>
      <c r="G28" s="37"/>
      <c r="H28" s="37"/>
      <c r="I28" s="37"/>
    </row>
    <row r="29" spans="1:9" x14ac:dyDescent="0.25">
      <c r="A29" s="37"/>
      <c r="B29" s="37"/>
      <c r="C29" s="37"/>
      <c r="D29" s="37"/>
      <c r="E29" s="37"/>
      <c r="F29" s="37"/>
      <c r="G29" s="37"/>
      <c r="H29" s="37"/>
      <c r="I29" s="37"/>
    </row>
    <row r="30" spans="1:9" x14ac:dyDescent="0.25">
      <c r="A30" s="37"/>
      <c r="B30" s="37"/>
      <c r="C30" s="37"/>
      <c r="D30" s="37"/>
      <c r="E30" s="37"/>
      <c r="F30" s="37"/>
      <c r="G30" s="37"/>
      <c r="H30" s="37"/>
      <c r="I30" s="37"/>
    </row>
    <row r="31" spans="1:9" x14ac:dyDescent="0.25">
      <c r="A31" s="37"/>
      <c r="B31" s="37"/>
      <c r="C31" s="37"/>
      <c r="D31" s="37"/>
      <c r="E31" s="37"/>
      <c r="F31" s="37"/>
      <c r="G31" s="37"/>
      <c r="H31" s="37"/>
      <c r="I31" s="37"/>
    </row>
    <row r="41" spans="1:9" x14ac:dyDescent="0.25">
      <c r="A41" s="37" t="s">
        <v>34</v>
      </c>
      <c r="B41" s="37"/>
      <c r="C41" s="37"/>
      <c r="D41" s="37"/>
      <c r="E41" s="37"/>
      <c r="F41" s="37"/>
      <c r="G41" s="37"/>
      <c r="H41" s="37"/>
      <c r="I41" s="37"/>
    </row>
    <row r="42" spans="1:9" x14ac:dyDescent="0.25">
      <c r="A42" s="37"/>
      <c r="B42" s="37"/>
      <c r="C42" s="37"/>
      <c r="D42" s="37"/>
      <c r="E42" s="37"/>
      <c r="F42" s="37"/>
      <c r="G42" s="37"/>
      <c r="H42" s="37"/>
      <c r="I42" s="37"/>
    </row>
    <row r="43" spans="1:9" x14ac:dyDescent="0.25">
      <c r="A43" s="37"/>
      <c r="B43" s="37"/>
      <c r="C43" s="37"/>
      <c r="D43" s="37"/>
      <c r="E43" s="37"/>
      <c r="F43" s="37"/>
      <c r="G43" s="37"/>
      <c r="H43" s="37"/>
      <c r="I43" s="37"/>
    </row>
    <row r="44" spans="1:9" x14ac:dyDescent="0.25">
      <c r="A44" s="37"/>
      <c r="B44" s="37"/>
      <c r="C44" s="37"/>
      <c r="D44" s="37"/>
      <c r="E44" s="37"/>
      <c r="F44" s="37"/>
      <c r="G44" s="37"/>
      <c r="H44" s="37"/>
      <c r="I44" s="37"/>
    </row>
  </sheetData>
  <mergeCells count="7">
    <mergeCell ref="A10:I13"/>
    <mergeCell ref="A17:I20"/>
    <mergeCell ref="A28:I31"/>
    <mergeCell ref="A41:I44"/>
    <mergeCell ref="A1:I2"/>
    <mergeCell ref="A3:I3"/>
    <mergeCell ref="A5:I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5"/>
  <sheetViews>
    <sheetView showGridLines="0" zoomScaleNormal="100" workbookViewId="0">
      <selection sqref="A1:I2"/>
    </sheetView>
  </sheetViews>
  <sheetFormatPr defaultRowHeight="15" x14ac:dyDescent="0.25"/>
  <cols>
    <col min="1" max="1" width="19.28515625" style="8" customWidth="1"/>
    <col min="2" max="8" width="9.140625" style="8"/>
    <col min="9" max="9" width="19.5703125" style="8" customWidth="1"/>
    <col min="10" max="16384" width="9.140625" style="8"/>
  </cols>
  <sheetData>
    <row r="1" spans="1:9" x14ac:dyDescent="0.25">
      <c r="A1" s="58" t="s">
        <v>1</v>
      </c>
      <c r="B1" s="58"/>
      <c r="C1" s="58"/>
      <c r="D1" s="58"/>
      <c r="E1" s="58"/>
      <c r="F1" s="58"/>
      <c r="G1" s="58"/>
      <c r="H1" s="58"/>
      <c r="I1" s="58"/>
    </row>
    <row r="2" spans="1:9" x14ac:dyDescent="0.25">
      <c r="A2" s="58"/>
      <c r="B2" s="58"/>
      <c r="C2" s="58"/>
      <c r="D2" s="58"/>
      <c r="E2" s="58"/>
      <c r="F2" s="58"/>
      <c r="G2" s="58"/>
      <c r="H2" s="58"/>
      <c r="I2" s="58"/>
    </row>
    <row r="5" spans="1:9" ht="15" customHeight="1" x14ac:dyDescent="0.25">
      <c r="A5" s="9">
        <v>12346789</v>
      </c>
      <c r="B5" s="40" t="str">
        <f>AbH(A5)</f>
        <v>دوازده میلیون و سیصد و چهل و شش هزار و هفتصد و هشتاد و نه</v>
      </c>
      <c r="C5" s="41"/>
      <c r="D5" s="42"/>
      <c r="E5" s="49" t="s">
        <v>3</v>
      </c>
      <c r="F5" s="50"/>
      <c r="G5" s="50"/>
      <c r="H5" s="50"/>
      <c r="I5" s="51"/>
    </row>
    <row r="6" spans="1:9" x14ac:dyDescent="0.25">
      <c r="A6" s="10"/>
      <c r="B6" s="43"/>
      <c r="C6" s="44"/>
      <c r="D6" s="45"/>
      <c r="E6" s="52"/>
      <c r="F6" s="53"/>
      <c r="G6" s="53"/>
      <c r="H6" s="53"/>
      <c r="I6" s="54"/>
    </row>
    <row r="7" spans="1:9" x14ac:dyDescent="0.25">
      <c r="A7" s="11"/>
      <c r="B7" s="46"/>
      <c r="C7" s="47"/>
      <c r="D7" s="48"/>
      <c r="E7" s="55"/>
      <c r="F7" s="56"/>
      <c r="G7" s="56"/>
      <c r="H7" s="56"/>
      <c r="I7" s="57"/>
    </row>
    <row r="8" spans="1:9" x14ac:dyDescent="0.25">
      <c r="A8" s="9">
        <v>1000000</v>
      </c>
      <c r="B8" s="40" t="str">
        <f t="shared" ref="B8" si="0">AbH(A8)</f>
        <v>یک میلیون</v>
      </c>
      <c r="C8" s="41"/>
      <c r="D8" s="42"/>
      <c r="E8" s="49" t="s">
        <v>4</v>
      </c>
      <c r="F8" s="50"/>
      <c r="G8" s="50"/>
      <c r="H8" s="50"/>
      <c r="I8" s="51"/>
    </row>
    <row r="9" spans="1:9" x14ac:dyDescent="0.25">
      <c r="A9" s="10"/>
      <c r="B9" s="43"/>
      <c r="C9" s="44"/>
      <c r="D9" s="45"/>
      <c r="E9" s="52"/>
      <c r="F9" s="53"/>
      <c r="G9" s="53"/>
      <c r="H9" s="53"/>
      <c r="I9" s="54"/>
    </row>
    <row r="10" spans="1:9" x14ac:dyDescent="0.25">
      <c r="A10" s="11"/>
      <c r="B10" s="46"/>
      <c r="C10" s="47"/>
      <c r="D10" s="48"/>
      <c r="E10" s="55"/>
      <c r="F10" s="56"/>
      <c r="G10" s="56"/>
      <c r="H10" s="56"/>
      <c r="I10" s="57"/>
    </row>
    <row r="11" spans="1:9" ht="15" customHeight="1" x14ac:dyDescent="0.25">
      <c r="A11" s="9">
        <v>1000000</v>
      </c>
      <c r="B11" s="40" t="str">
        <f>AbH(A11)&amp;" ریال پرداخت شد"</f>
        <v>یک میلیون ریال پرداخت شد</v>
      </c>
      <c r="C11" s="41"/>
      <c r="D11" s="42"/>
      <c r="E11" s="49" t="s">
        <v>7</v>
      </c>
      <c r="F11" s="50"/>
      <c r="G11" s="50"/>
      <c r="H11" s="50"/>
      <c r="I11" s="51"/>
    </row>
    <row r="12" spans="1:9" x14ac:dyDescent="0.25">
      <c r="A12" s="10"/>
      <c r="B12" s="43"/>
      <c r="C12" s="44"/>
      <c r="D12" s="45"/>
      <c r="E12" s="52"/>
      <c r="F12" s="53"/>
      <c r="G12" s="53"/>
      <c r="H12" s="53"/>
      <c r="I12" s="54"/>
    </row>
    <row r="13" spans="1:9" x14ac:dyDescent="0.25">
      <c r="A13" s="11"/>
      <c r="B13" s="46"/>
      <c r="C13" s="47"/>
      <c r="D13" s="48"/>
      <c r="E13" s="55"/>
      <c r="F13" s="56"/>
      <c r="G13" s="56"/>
      <c r="H13" s="56"/>
      <c r="I13" s="57"/>
    </row>
    <row r="14" spans="1:9" x14ac:dyDescent="0.25">
      <c r="A14" s="9">
        <v>1000.1233999999999</v>
      </c>
      <c r="B14" s="40" t="str">
        <f>AbH(A14)</f>
        <v>یک هزار  ممیز یک هزار و دویست و سی و چهار ده هزارم</v>
      </c>
      <c r="C14" s="41"/>
      <c r="D14" s="42"/>
      <c r="E14" s="49" t="s">
        <v>8</v>
      </c>
      <c r="F14" s="50"/>
      <c r="G14" s="50"/>
      <c r="H14" s="50"/>
      <c r="I14" s="51"/>
    </row>
    <row r="15" spans="1:9" x14ac:dyDescent="0.25">
      <c r="A15" s="10"/>
      <c r="B15" s="43"/>
      <c r="C15" s="44"/>
      <c r="D15" s="45"/>
      <c r="E15" s="52"/>
      <c r="F15" s="53"/>
      <c r="G15" s="53"/>
      <c r="H15" s="53"/>
      <c r="I15" s="54"/>
    </row>
    <row r="16" spans="1:9" x14ac:dyDescent="0.25">
      <c r="A16" s="11"/>
      <c r="B16" s="46"/>
      <c r="C16" s="47"/>
      <c r="D16" s="48"/>
      <c r="E16" s="55"/>
      <c r="F16" s="56"/>
      <c r="G16" s="56"/>
      <c r="H16" s="56"/>
      <c r="I16" s="57"/>
    </row>
    <row r="17" spans="1:9" x14ac:dyDescent="0.25">
      <c r="A17" s="9">
        <v>0.12345</v>
      </c>
      <c r="B17" s="40" t="str">
        <f>AbH(A17)</f>
        <v>دوازده هزار و سیصد و چهل و پنج صد هزارم</v>
      </c>
      <c r="C17" s="41"/>
      <c r="D17" s="42"/>
      <c r="E17" s="49" t="s">
        <v>9</v>
      </c>
      <c r="F17" s="50"/>
      <c r="G17" s="50"/>
      <c r="H17" s="50"/>
      <c r="I17" s="51"/>
    </row>
    <row r="18" spans="1:9" x14ac:dyDescent="0.25">
      <c r="A18" s="10"/>
      <c r="B18" s="43"/>
      <c r="C18" s="44"/>
      <c r="D18" s="45"/>
      <c r="E18" s="52"/>
      <c r="F18" s="53"/>
      <c r="G18" s="53"/>
      <c r="H18" s="53"/>
      <c r="I18" s="54"/>
    </row>
    <row r="19" spans="1:9" x14ac:dyDescent="0.25">
      <c r="A19" s="11"/>
      <c r="B19" s="46"/>
      <c r="C19" s="47"/>
      <c r="D19" s="48"/>
      <c r="E19" s="55"/>
      <c r="F19" s="56"/>
      <c r="G19" s="56"/>
      <c r="H19" s="56"/>
      <c r="I19" s="57"/>
    </row>
    <row r="20" spans="1:9" x14ac:dyDescent="0.25">
      <c r="A20" s="9">
        <v>-9870000000</v>
      </c>
      <c r="B20" s="40" t="str">
        <f>AbH(A20)</f>
        <v>منفی نه میلیارد و هشتصد و هفتاد میلیون</v>
      </c>
      <c r="C20" s="41"/>
      <c r="D20" s="42"/>
      <c r="E20" s="49" t="s">
        <v>10</v>
      </c>
      <c r="F20" s="50"/>
      <c r="G20" s="50"/>
      <c r="H20" s="50"/>
      <c r="I20" s="51"/>
    </row>
    <row r="21" spans="1:9" x14ac:dyDescent="0.25">
      <c r="A21" s="10"/>
      <c r="B21" s="43"/>
      <c r="C21" s="44"/>
      <c r="D21" s="45"/>
      <c r="E21" s="52"/>
      <c r="F21" s="53"/>
      <c r="G21" s="53"/>
      <c r="H21" s="53"/>
      <c r="I21" s="54"/>
    </row>
    <row r="22" spans="1:9" x14ac:dyDescent="0.25">
      <c r="A22" s="11"/>
      <c r="B22" s="46"/>
      <c r="C22" s="47"/>
      <c r="D22" s="48"/>
      <c r="E22" s="55"/>
      <c r="F22" s="56"/>
      <c r="G22" s="56"/>
      <c r="H22" s="56"/>
      <c r="I22" s="57"/>
    </row>
    <row r="23" spans="1:9" x14ac:dyDescent="0.25">
      <c r="A23" s="9">
        <v>1234.232</v>
      </c>
      <c r="B23" s="40" t="str">
        <f>AbH(TRUNC(A23))</f>
        <v>یک هزار و دویست و سی و چهار</v>
      </c>
      <c r="C23" s="41"/>
      <c r="D23" s="42"/>
      <c r="E23" s="49" t="s">
        <v>11</v>
      </c>
      <c r="F23" s="50"/>
      <c r="G23" s="50"/>
      <c r="H23" s="50"/>
      <c r="I23" s="51"/>
    </row>
    <row r="24" spans="1:9" x14ac:dyDescent="0.25">
      <c r="A24" s="10"/>
      <c r="B24" s="43"/>
      <c r="C24" s="44"/>
      <c r="D24" s="45"/>
      <c r="E24" s="52"/>
      <c r="F24" s="53"/>
      <c r="G24" s="53"/>
      <c r="H24" s="53"/>
      <c r="I24" s="54"/>
    </row>
    <row r="25" spans="1:9" x14ac:dyDescent="0.25">
      <c r="A25" s="11"/>
      <c r="B25" s="46"/>
      <c r="C25" s="47"/>
      <c r="D25" s="48"/>
      <c r="E25" s="55"/>
      <c r="F25" s="56"/>
      <c r="G25" s="56"/>
      <c r="H25" s="56"/>
      <c r="I25" s="57"/>
    </row>
  </sheetData>
  <mergeCells count="15">
    <mergeCell ref="A1:I2"/>
    <mergeCell ref="E5:I7"/>
    <mergeCell ref="E8:I10"/>
    <mergeCell ref="B5:D7"/>
    <mergeCell ref="B8:D10"/>
    <mergeCell ref="B20:D22"/>
    <mergeCell ref="E20:I22"/>
    <mergeCell ref="B23:D25"/>
    <mergeCell ref="E23:I25"/>
    <mergeCell ref="E11:I13"/>
    <mergeCell ref="E14:I16"/>
    <mergeCell ref="E17:I19"/>
    <mergeCell ref="B11:D13"/>
    <mergeCell ref="B14:D16"/>
    <mergeCell ref="B17:D19"/>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9"/>
  <sheetViews>
    <sheetView showGridLines="0" zoomScaleNormal="100" workbookViewId="0">
      <selection sqref="A1:I2"/>
    </sheetView>
  </sheetViews>
  <sheetFormatPr defaultRowHeight="15" x14ac:dyDescent="0.25"/>
  <cols>
    <col min="1" max="1" width="15" style="8" customWidth="1"/>
    <col min="2" max="2" width="16.7109375" style="8" customWidth="1"/>
    <col min="3" max="16384" width="9.140625" style="8"/>
  </cols>
  <sheetData>
    <row r="1" spans="1:9" ht="15" customHeight="1" x14ac:dyDescent="0.25">
      <c r="A1" s="58" t="s">
        <v>1</v>
      </c>
      <c r="B1" s="58"/>
      <c r="C1" s="58"/>
      <c r="D1" s="58"/>
      <c r="E1" s="58"/>
      <c r="F1" s="58"/>
      <c r="G1" s="58"/>
      <c r="H1" s="58"/>
      <c r="I1" s="58"/>
    </row>
    <row r="2" spans="1:9" ht="23.25" customHeight="1" x14ac:dyDescent="0.25">
      <c r="A2" s="58"/>
      <c r="B2" s="58"/>
      <c r="C2" s="58"/>
      <c r="D2" s="58"/>
      <c r="E2" s="58"/>
      <c r="F2" s="58"/>
      <c r="G2" s="58"/>
      <c r="H2" s="58"/>
      <c r="I2" s="58"/>
    </row>
    <row r="5" spans="1:9" x14ac:dyDescent="0.25">
      <c r="A5" s="12" t="s">
        <v>0</v>
      </c>
      <c r="B5" s="64" t="str">
        <f>TbH(A5)</f>
        <v>17 مرداد 1357</v>
      </c>
      <c r="C5" s="65"/>
      <c r="D5" s="66"/>
      <c r="E5" s="49" t="s">
        <v>3</v>
      </c>
      <c r="F5" s="50"/>
      <c r="G5" s="50"/>
      <c r="H5" s="50"/>
      <c r="I5" s="51"/>
    </row>
    <row r="6" spans="1:9" x14ac:dyDescent="0.25">
      <c r="A6" s="13"/>
      <c r="B6" s="14"/>
      <c r="C6" s="15"/>
      <c r="D6" s="16"/>
      <c r="E6" s="52"/>
      <c r="F6" s="53"/>
      <c r="G6" s="53"/>
      <c r="H6" s="53"/>
      <c r="I6" s="54"/>
    </row>
    <row r="7" spans="1:9" x14ac:dyDescent="0.25">
      <c r="A7" s="17"/>
      <c r="B7" s="18"/>
      <c r="C7" s="19"/>
      <c r="D7" s="20"/>
      <c r="E7" s="55"/>
      <c r="F7" s="56"/>
      <c r="G7" s="56"/>
      <c r="H7" s="56"/>
      <c r="I7" s="57"/>
    </row>
    <row r="8" spans="1:9" x14ac:dyDescent="0.25">
      <c r="A8" s="12" t="s">
        <v>2</v>
      </c>
      <c r="B8" s="64" t="str">
        <f>TbH(A8,1)</f>
        <v>هفدهم مرداد یک هزار و سیصد و نود و یک</v>
      </c>
      <c r="C8" s="65"/>
      <c r="D8" s="66"/>
      <c r="E8" s="49" t="s">
        <v>4</v>
      </c>
      <c r="F8" s="50"/>
      <c r="G8" s="50"/>
      <c r="H8" s="50"/>
      <c r="I8" s="51"/>
    </row>
    <row r="9" spans="1:9" x14ac:dyDescent="0.25">
      <c r="A9" s="13"/>
      <c r="B9" s="14"/>
      <c r="C9" s="15"/>
      <c r="D9" s="16"/>
      <c r="E9" s="52"/>
      <c r="F9" s="53"/>
      <c r="G9" s="53"/>
      <c r="H9" s="53"/>
      <c r="I9" s="54"/>
    </row>
    <row r="10" spans="1:9" x14ac:dyDescent="0.25">
      <c r="A10" s="17"/>
      <c r="B10" s="18"/>
      <c r="C10" s="19"/>
      <c r="D10" s="20"/>
      <c r="E10" s="55"/>
      <c r="F10" s="56"/>
      <c r="G10" s="56"/>
      <c r="H10" s="56"/>
      <c r="I10" s="57"/>
    </row>
    <row r="11" spans="1:9" x14ac:dyDescent="0.25">
      <c r="A11" s="10">
        <v>13910517</v>
      </c>
      <c r="B11" s="64" t="str">
        <f>TbH(FDate(A11),1)</f>
        <v>هفدهم مرداد یک هزار و سیصد و نود و یک</v>
      </c>
      <c r="C11" s="65"/>
      <c r="D11" s="66"/>
      <c r="E11" s="49" t="s">
        <v>5</v>
      </c>
      <c r="F11" s="50"/>
      <c r="G11" s="50"/>
      <c r="H11" s="50"/>
      <c r="I11" s="51"/>
    </row>
    <row r="12" spans="1:9" x14ac:dyDescent="0.25">
      <c r="A12" s="13"/>
      <c r="B12" s="14"/>
      <c r="C12" s="15"/>
      <c r="D12" s="16"/>
      <c r="E12" s="52"/>
      <c r="F12" s="53"/>
      <c r="G12" s="53"/>
      <c r="H12" s="53"/>
      <c r="I12" s="54"/>
    </row>
    <row r="13" spans="1:9" x14ac:dyDescent="0.25">
      <c r="A13" s="17"/>
      <c r="B13" s="18"/>
      <c r="C13" s="19"/>
      <c r="D13" s="20"/>
      <c r="E13" s="55"/>
      <c r="F13" s="56"/>
      <c r="G13" s="56"/>
      <c r="H13" s="56"/>
      <c r="I13" s="57"/>
    </row>
    <row r="14" spans="1:9" x14ac:dyDescent="0.25">
      <c r="A14" s="21">
        <v>13910517</v>
      </c>
      <c r="B14" s="64"/>
      <c r="C14" s="65"/>
      <c r="D14" s="66"/>
      <c r="E14" s="67" t="s">
        <v>6</v>
      </c>
      <c r="F14" s="67"/>
      <c r="G14" s="67"/>
      <c r="H14" s="67"/>
      <c r="I14" s="67"/>
    </row>
    <row r="15" spans="1:9" x14ac:dyDescent="0.25">
      <c r="A15" s="22"/>
      <c r="B15" s="14"/>
      <c r="C15" s="15"/>
      <c r="D15" s="16"/>
      <c r="E15" s="68"/>
      <c r="F15" s="68"/>
      <c r="G15" s="68"/>
      <c r="H15" s="68"/>
      <c r="I15" s="68"/>
    </row>
    <row r="16" spans="1:9" x14ac:dyDescent="0.25">
      <c r="A16" s="13"/>
      <c r="B16" s="14"/>
      <c r="C16" s="15"/>
      <c r="D16" s="16"/>
      <c r="E16" s="68"/>
      <c r="F16" s="68"/>
      <c r="G16" s="68"/>
      <c r="H16" s="68"/>
      <c r="I16" s="68"/>
    </row>
    <row r="17" spans="1:9" x14ac:dyDescent="0.25">
      <c r="A17" s="13"/>
      <c r="B17" s="59"/>
      <c r="C17" s="60"/>
      <c r="D17" s="61"/>
      <c r="E17" s="62"/>
      <c r="F17" s="62"/>
      <c r="G17" s="62"/>
      <c r="H17" s="62"/>
      <c r="I17" s="62"/>
    </row>
    <row r="18" spans="1:9" x14ac:dyDescent="0.25">
      <c r="A18" s="13"/>
      <c r="B18" s="23"/>
      <c r="C18" s="24"/>
      <c r="D18" s="25"/>
      <c r="E18" s="62"/>
      <c r="F18" s="62"/>
      <c r="G18" s="62"/>
      <c r="H18" s="62"/>
      <c r="I18" s="62"/>
    </row>
    <row r="19" spans="1:9" x14ac:dyDescent="0.25">
      <c r="A19" s="17"/>
      <c r="B19" s="26"/>
      <c r="C19" s="27"/>
      <c r="D19" s="28"/>
      <c r="E19" s="63"/>
      <c r="F19" s="63"/>
      <c r="G19" s="63"/>
      <c r="H19" s="63"/>
      <c r="I19" s="63"/>
    </row>
  </sheetData>
  <mergeCells count="11">
    <mergeCell ref="B17:D17"/>
    <mergeCell ref="E17:I19"/>
    <mergeCell ref="A1:I2"/>
    <mergeCell ref="B8:D8"/>
    <mergeCell ref="E5:I7"/>
    <mergeCell ref="E8:I10"/>
    <mergeCell ref="B11:D11"/>
    <mergeCell ref="E11:I13"/>
    <mergeCell ref="B14:D14"/>
    <mergeCell ref="E14:I16"/>
    <mergeCell ref="B5:D5"/>
  </mergeCells>
  <pageMargins left="0.7" right="0.7" top="0.75" bottom="0.75" header="0.3" footer="0.3"/>
  <pageSetup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9"/>
  <sheetViews>
    <sheetView showGridLines="0" zoomScaleNormal="100" workbookViewId="0">
      <selection sqref="A1:I2"/>
    </sheetView>
  </sheetViews>
  <sheetFormatPr defaultRowHeight="15" x14ac:dyDescent="0.25"/>
  <cols>
    <col min="1" max="1" width="13.28515625" style="8" customWidth="1"/>
    <col min="2" max="16384" width="9.140625" style="8"/>
  </cols>
  <sheetData>
    <row r="1" spans="1:9" x14ac:dyDescent="0.25">
      <c r="A1" s="75" t="s">
        <v>1</v>
      </c>
      <c r="B1" s="75"/>
      <c r="C1" s="75"/>
      <c r="D1" s="75"/>
      <c r="E1" s="75"/>
      <c r="F1" s="75"/>
      <c r="G1" s="75"/>
      <c r="H1" s="75"/>
      <c r="I1" s="75"/>
    </row>
    <row r="2" spans="1:9" x14ac:dyDescent="0.25">
      <c r="A2" s="75"/>
      <c r="B2" s="75"/>
      <c r="C2" s="75"/>
      <c r="D2" s="75"/>
      <c r="E2" s="75"/>
      <c r="F2" s="75"/>
      <c r="G2" s="75"/>
      <c r="H2" s="75"/>
      <c r="I2" s="75"/>
    </row>
    <row r="5" spans="1:9" x14ac:dyDescent="0.25">
      <c r="A5" s="12" t="s">
        <v>0</v>
      </c>
      <c r="B5" s="64" t="str">
        <f>J_ADDDAY(A5,100,1)</f>
        <v>1357/08/25</v>
      </c>
      <c r="C5" s="65"/>
      <c r="D5" s="66"/>
      <c r="E5" s="49" t="s">
        <v>12</v>
      </c>
      <c r="F5" s="50"/>
      <c r="G5" s="50"/>
      <c r="H5" s="50"/>
      <c r="I5" s="51"/>
    </row>
    <row r="6" spans="1:9" x14ac:dyDescent="0.25">
      <c r="A6" s="13"/>
      <c r="B6" s="14"/>
      <c r="C6" s="15"/>
      <c r="D6" s="16"/>
      <c r="E6" s="52"/>
      <c r="F6" s="53"/>
      <c r="G6" s="53"/>
      <c r="H6" s="53"/>
      <c r="I6" s="54"/>
    </row>
    <row r="7" spans="1:9" x14ac:dyDescent="0.25">
      <c r="A7" s="17"/>
      <c r="B7" s="18"/>
      <c r="C7" s="19"/>
      <c r="D7" s="20"/>
      <c r="E7" s="55"/>
      <c r="F7" s="56"/>
      <c r="G7" s="56"/>
      <c r="H7" s="56"/>
      <c r="I7" s="57"/>
    </row>
    <row r="8" spans="1:9" ht="15" customHeight="1" x14ac:dyDescent="0.25">
      <c r="A8" s="12" t="str">
        <f ca="1">J_TODAY()</f>
        <v>91/11/17</v>
      </c>
      <c r="B8" s="64" t="str">
        <f ca="1">TbH(A8,1)</f>
        <v>هفدهم بهمن یک هزار و سیصد و نود و یک</v>
      </c>
      <c r="C8" s="65"/>
      <c r="D8" s="66"/>
      <c r="E8" s="49" t="s">
        <v>13</v>
      </c>
      <c r="F8" s="50"/>
      <c r="G8" s="50"/>
      <c r="H8" s="50"/>
      <c r="I8" s="51"/>
    </row>
    <row r="9" spans="1:9" x14ac:dyDescent="0.25">
      <c r="A9" s="13"/>
      <c r="B9" s="69"/>
      <c r="C9" s="70"/>
      <c r="D9" s="71"/>
      <c r="E9" s="52"/>
      <c r="F9" s="53"/>
      <c r="G9" s="53"/>
      <c r="H9" s="53"/>
      <c r="I9" s="54"/>
    </row>
    <row r="10" spans="1:9" x14ac:dyDescent="0.25">
      <c r="A10" s="17"/>
      <c r="B10" s="72"/>
      <c r="C10" s="73"/>
      <c r="D10" s="74"/>
      <c r="E10" s="55"/>
      <c r="F10" s="56"/>
      <c r="G10" s="56"/>
      <c r="H10" s="56"/>
      <c r="I10" s="57"/>
    </row>
    <row r="11" spans="1:9" x14ac:dyDescent="0.25">
      <c r="A11" s="10" t="s">
        <v>14</v>
      </c>
      <c r="B11" s="64">
        <f>J_DIFF(A11,A12)</f>
        <v>347</v>
      </c>
      <c r="C11" s="65"/>
      <c r="D11" s="66"/>
      <c r="E11" s="49" t="s">
        <v>16</v>
      </c>
      <c r="F11" s="50"/>
      <c r="G11" s="50"/>
      <c r="H11" s="50"/>
      <c r="I11" s="51"/>
    </row>
    <row r="12" spans="1:9" x14ac:dyDescent="0.25">
      <c r="A12" s="10" t="s">
        <v>15</v>
      </c>
      <c r="B12" s="14"/>
      <c r="C12" s="15"/>
      <c r="D12" s="16"/>
      <c r="E12" s="52"/>
      <c r="F12" s="53"/>
      <c r="G12" s="53"/>
      <c r="H12" s="53"/>
      <c r="I12" s="54"/>
    </row>
    <row r="13" spans="1:9" x14ac:dyDescent="0.25">
      <c r="A13" s="17"/>
      <c r="B13" s="18"/>
      <c r="C13" s="19"/>
      <c r="D13" s="20"/>
      <c r="E13" s="55"/>
      <c r="F13" s="56"/>
      <c r="G13" s="56"/>
      <c r="H13" s="56"/>
      <c r="I13" s="57"/>
    </row>
    <row r="14" spans="1:9" ht="15" customHeight="1" x14ac:dyDescent="0.25">
      <c r="A14" s="10" t="str">
        <f ca="1">J_TODAY()</f>
        <v>91/11/17</v>
      </c>
      <c r="B14" s="64" t="str">
        <f ca="1">J_WEEKDAY(A14,1)</f>
        <v>سه شنبه</v>
      </c>
      <c r="C14" s="65"/>
      <c r="D14" s="66"/>
      <c r="E14" s="49" t="s">
        <v>17</v>
      </c>
      <c r="F14" s="50"/>
      <c r="G14" s="50"/>
      <c r="H14" s="50"/>
      <c r="I14" s="51"/>
    </row>
    <row r="15" spans="1:9" x14ac:dyDescent="0.25">
      <c r="A15" s="10"/>
      <c r="B15" s="14"/>
      <c r="C15" s="15"/>
      <c r="D15" s="16"/>
      <c r="E15" s="52"/>
      <c r="F15" s="53"/>
      <c r="G15" s="53"/>
      <c r="H15" s="53"/>
      <c r="I15" s="54"/>
    </row>
    <row r="16" spans="1:9" x14ac:dyDescent="0.25">
      <c r="A16" s="17"/>
      <c r="B16" s="18"/>
      <c r="C16" s="19"/>
      <c r="D16" s="20"/>
      <c r="E16" s="55"/>
      <c r="F16" s="56"/>
      <c r="G16" s="56"/>
      <c r="H16" s="56"/>
      <c r="I16" s="57"/>
    </row>
    <row r="17" spans="1:9" x14ac:dyDescent="0.25">
      <c r="A17" s="10" t="str">
        <f ca="1">J_TODAY()</f>
        <v>91/11/17</v>
      </c>
      <c r="B17" s="64" t="str">
        <f ca="1">IF(J_WEEKDAY(A17)&gt;=5,"تعطیل","روز کاری")</f>
        <v>روز کاری</v>
      </c>
      <c r="C17" s="65"/>
      <c r="D17" s="66"/>
      <c r="E17" s="49" t="s">
        <v>18</v>
      </c>
      <c r="F17" s="50"/>
      <c r="G17" s="50"/>
      <c r="H17" s="50"/>
      <c r="I17" s="51"/>
    </row>
    <row r="18" spans="1:9" x14ac:dyDescent="0.25">
      <c r="A18" s="10"/>
      <c r="B18" s="14"/>
      <c r="C18" s="15"/>
      <c r="D18" s="16"/>
      <c r="E18" s="52"/>
      <c r="F18" s="53"/>
      <c r="G18" s="53"/>
      <c r="H18" s="53"/>
      <c r="I18" s="54"/>
    </row>
    <row r="19" spans="1:9" x14ac:dyDescent="0.25">
      <c r="A19" s="17"/>
      <c r="B19" s="18"/>
      <c r="C19" s="19"/>
      <c r="D19" s="20"/>
      <c r="E19" s="55"/>
      <c r="F19" s="56"/>
      <c r="G19" s="56"/>
      <c r="H19" s="56"/>
      <c r="I19" s="57"/>
    </row>
  </sheetData>
  <mergeCells count="11">
    <mergeCell ref="A1:I2"/>
    <mergeCell ref="B5:D5"/>
    <mergeCell ref="E5:I7"/>
    <mergeCell ref="E8:I10"/>
    <mergeCell ref="B11:D11"/>
    <mergeCell ref="E11:I13"/>
    <mergeCell ref="B14:D14"/>
    <mergeCell ref="E14:I16"/>
    <mergeCell ref="B17:D17"/>
    <mergeCell ref="E17:I19"/>
    <mergeCell ref="B8:D10"/>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13"/>
  <sheetViews>
    <sheetView showGridLines="0" zoomScaleNormal="100" workbookViewId="0">
      <selection sqref="A1:I2"/>
    </sheetView>
  </sheetViews>
  <sheetFormatPr defaultRowHeight="15" x14ac:dyDescent="0.25"/>
  <cols>
    <col min="1" max="1" width="13.28515625" style="8" customWidth="1"/>
    <col min="2" max="16384" width="9.140625" style="8"/>
  </cols>
  <sheetData>
    <row r="1" spans="1:9" x14ac:dyDescent="0.25">
      <c r="A1" s="75" t="s">
        <v>24</v>
      </c>
      <c r="B1" s="75"/>
      <c r="C1" s="75"/>
      <c r="D1" s="75"/>
      <c r="E1" s="75"/>
      <c r="F1" s="75"/>
      <c r="G1" s="75"/>
      <c r="H1" s="75"/>
      <c r="I1" s="75"/>
    </row>
    <row r="2" spans="1:9" x14ac:dyDescent="0.25">
      <c r="A2" s="75"/>
      <c r="B2" s="75"/>
      <c r="C2" s="75"/>
      <c r="D2" s="75"/>
      <c r="E2" s="75"/>
      <c r="F2" s="75"/>
      <c r="G2" s="75"/>
      <c r="H2" s="75"/>
      <c r="I2" s="75"/>
    </row>
    <row r="5" spans="1:9" x14ac:dyDescent="0.25">
      <c r="A5" s="12" t="s">
        <v>0</v>
      </c>
      <c r="B5" s="64" t="str">
        <f>J_GREGORIANDATE(A5,1)</f>
        <v>1978/08/08</v>
      </c>
      <c r="C5" s="65"/>
      <c r="D5" s="66"/>
      <c r="E5" s="49" t="s">
        <v>19</v>
      </c>
      <c r="F5" s="50"/>
      <c r="G5" s="50"/>
      <c r="H5" s="50"/>
      <c r="I5" s="51"/>
    </row>
    <row r="6" spans="1:9" x14ac:dyDescent="0.25">
      <c r="A6" s="13"/>
      <c r="B6" s="14"/>
      <c r="C6" s="15"/>
      <c r="D6" s="16"/>
      <c r="E6" s="52"/>
      <c r="F6" s="53"/>
      <c r="G6" s="53"/>
      <c r="H6" s="53"/>
      <c r="I6" s="54"/>
    </row>
    <row r="7" spans="1:9" x14ac:dyDescent="0.25">
      <c r="A7" s="17"/>
      <c r="B7" s="18"/>
      <c r="C7" s="19"/>
      <c r="D7" s="20"/>
      <c r="E7" s="55"/>
      <c r="F7" s="56"/>
      <c r="G7" s="56"/>
      <c r="H7" s="56"/>
      <c r="I7" s="57"/>
    </row>
    <row r="8" spans="1:9" ht="15" customHeight="1" x14ac:dyDescent="0.25">
      <c r="A8" s="29">
        <v>28710</v>
      </c>
      <c r="B8" s="64" t="str">
        <f>J_JALALDATE(A8,1)</f>
        <v>1357/05/17</v>
      </c>
      <c r="C8" s="65"/>
      <c r="D8" s="66"/>
      <c r="E8" s="49" t="s">
        <v>20</v>
      </c>
      <c r="F8" s="50"/>
      <c r="G8" s="50"/>
      <c r="H8" s="50"/>
      <c r="I8" s="51"/>
    </row>
    <row r="9" spans="1:9" x14ac:dyDescent="0.25">
      <c r="A9" s="30">
        <v>28710</v>
      </c>
      <c r="B9" s="69" t="str">
        <f>J_JALALDATE(A9,1)</f>
        <v>1357/05/17</v>
      </c>
      <c r="C9" s="70"/>
      <c r="D9" s="71"/>
      <c r="E9" s="52"/>
      <c r="F9" s="53"/>
      <c r="G9" s="53"/>
      <c r="H9" s="53"/>
      <c r="I9" s="54"/>
    </row>
    <row r="10" spans="1:9" x14ac:dyDescent="0.25">
      <c r="A10" s="11"/>
      <c r="B10" s="31"/>
      <c r="C10" s="32"/>
      <c r="D10" s="33"/>
      <c r="E10" s="55"/>
      <c r="F10" s="56"/>
      <c r="G10" s="56"/>
      <c r="H10" s="56"/>
      <c r="I10" s="57"/>
    </row>
    <row r="11" spans="1:9" x14ac:dyDescent="0.25">
      <c r="A11" s="12" t="s">
        <v>0</v>
      </c>
      <c r="B11" s="76">
        <f>DATEVALUE(J_GREGORIANDATE(A11,1))</f>
        <v>28710</v>
      </c>
      <c r="C11" s="77"/>
      <c r="D11" s="78"/>
      <c r="E11" s="49" t="s">
        <v>21</v>
      </c>
      <c r="F11" s="50"/>
      <c r="G11" s="50"/>
      <c r="H11" s="50"/>
      <c r="I11" s="51"/>
    </row>
    <row r="12" spans="1:9" x14ac:dyDescent="0.25">
      <c r="A12" s="10"/>
      <c r="B12" s="14"/>
      <c r="C12" s="15"/>
      <c r="D12" s="16"/>
      <c r="E12" s="52"/>
      <c r="F12" s="53"/>
      <c r="G12" s="53"/>
      <c r="H12" s="53"/>
      <c r="I12" s="54"/>
    </row>
    <row r="13" spans="1:9" x14ac:dyDescent="0.25">
      <c r="A13" s="17"/>
      <c r="B13" s="18"/>
      <c r="C13" s="19"/>
      <c r="D13" s="20"/>
      <c r="E13" s="55"/>
      <c r="F13" s="56"/>
      <c r="G13" s="56"/>
      <c r="H13" s="56"/>
      <c r="I13" s="57"/>
    </row>
  </sheetData>
  <mergeCells count="8">
    <mergeCell ref="B11:D11"/>
    <mergeCell ref="E11:I13"/>
    <mergeCell ref="B8:D8"/>
    <mergeCell ref="B9:D9"/>
    <mergeCell ref="A1:I2"/>
    <mergeCell ref="B5:D5"/>
    <mergeCell ref="E5:I7"/>
    <mergeCell ref="E8:I10"/>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showGridLines="0" zoomScaleNormal="100" workbookViewId="0">
      <selection sqref="A1:I2"/>
    </sheetView>
  </sheetViews>
  <sheetFormatPr defaultRowHeight="15" x14ac:dyDescent="0.25"/>
  <cols>
    <col min="1" max="1" width="14.42578125" style="8" customWidth="1"/>
    <col min="2" max="16384" width="9.140625" style="8"/>
  </cols>
  <sheetData>
    <row r="1" spans="1:9" x14ac:dyDescent="0.25">
      <c r="A1" s="75" t="s">
        <v>25</v>
      </c>
      <c r="B1" s="75"/>
      <c r="C1" s="75"/>
      <c r="D1" s="75"/>
      <c r="E1" s="75"/>
      <c r="F1" s="75"/>
      <c r="G1" s="75"/>
      <c r="H1" s="75"/>
      <c r="I1" s="75"/>
    </row>
    <row r="2" spans="1:9" x14ac:dyDescent="0.25">
      <c r="A2" s="75"/>
      <c r="B2" s="75"/>
      <c r="C2" s="75"/>
      <c r="D2" s="75"/>
      <c r="E2" s="75"/>
      <c r="F2" s="75"/>
      <c r="G2" s="75"/>
      <c r="H2" s="75"/>
      <c r="I2" s="75"/>
    </row>
    <row r="5" spans="1:9" x14ac:dyDescent="0.25">
      <c r="A5" s="12" t="s">
        <v>0</v>
      </c>
      <c r="B5" s="64">
        <f>VALUE(SUBSTITUTE(A5,"/",""))</f>
        <v>13570517</v>
      </c>
      <c r="C5" s="65"/>
      <c r="D5" s="66"/>
      <c r="E5" s="49" t="s">
        <v>22</v>
      </c>
      <c r="F5" s="50"/>
      <c r="G5" s="50"/>
      <c r="H5" s="50"/>
      <c r="I5" s="51"/>
    </row>
    <row r="6" spans="1:9" x14ac:dyDescent="0.25">
      <c r="A6" s="13"/>
      <c r="B6" s="14"/>
      <c r="C6" s="15"/>
      <c r="D6" s="16"/>
      <c r="E6" s="52"/>
      <c r="F6" s="53"/>
      <c r="G6" s="53"/>
      <c r="H6" s="53"/>
      <c r="I6" s="54"/>
    </row>
    <row r="7" spans="1:9" x14ac:dyDescent="0.25">
      <c r="A7" s="17"/>
      <c r="B7" s="18"/>
      <c r="C7" s="19"/>
      <c r="D7" s="20"/>
      <c r="E7" s="55"/>
      <c r="F7" s="56"/>
      <c r="G7" s="56"/>
      <c r="H7" s="56"/>
      <c r="I7" s="57"/>
    </row>
    <row r="8" spans="1:9" x14ac:dyDescent="0.25">
      <c r="A8" s="10" t="s">
        <v>14</v>
      </c>
      <c r="B8" s="64">
        <f>TRUNC(J_DIFF(A8,A9)/7)</f>
        <v>49</v>
      </c>
      <c r="C8" s="65"/>
      <c r="D8" s="66"/>
      <c r="E8" s="49" t="s">
        <v>23</v>
      </c>
      <c r="F8" s="50"/>
      <c r="G8" s="50"/>
      <c r="H8" s="50"/>
      <c r="I8" s="51"/>
    </row>
    <row r="9" spans="1:9" x14ac:dyDescent="0.25">
      <c r="A9" s="10" t="s">
        <v>15</v>
      </c>
      <c r="B9" s="14"/>
      <c r="C9" s="15"/>
      <c r="D9" s="16"/>
      <c r="E9" s="52"/>
      <c r="F9" s="53"/>
      <c r="G9" s="53"/>
      <c r="H9" s="53"/>
      <c r="I9" s="54"/>
    </row>
    <row r="10" spans="1:9" x14ac:dyDescent="0.25">
      <c r="A10" s="11"/>
      <c r="B10" s="31"/>
      <c r="C10" s="32"/>
      <c r="D10" s="33"/>
      <c r="E10" s="55"/>
      <c r="F10" s="56"/>
      <c r="G10" s="56"/>
      <c r="H10" s="56"/>
      <c r="I10" s="57"/>
    </row>
    <row r="11" spans="1:9" x14ac:dyDescent="0.25">
      <c r="A11" s="12" t="s">
        <v>0</v>
      </c>
      <c r="B11" s="76">
        <f>DATEVALUE(J_GREGORIANDATE(A11,1))</f>
        <v>28710</v>
      </c>
      <c r="C11" s="77"/>
      <c r="D11" s="78"/>
      <c r="E11" s="49" t="s">
        <v>21</v>
      </c>
      <c r="F11" s="50"/>
      <c r="G11" s="50"/>
      <c r="H11" s="50"/>
      <c r="I11" s="51"/>
    </row>
    <row r="12" spans="1:9" x14ac:dyDescent="0.25">
      <c r="A12" s="10"/>
      <c r="B12" s="14"/>
      <c r="C12" s="15"/>
      <c r="D12" s="16"/>
      <c r="E12" s="52"/>
      <c r="F12" s="53"/>
      <c r="G12" s="53"/>
      <c r="H12" s="53"/>
      <c r="I12" s="54"/>
    </row>
    <row r="13" spans="1:9" x14ac:dyDescent="0.25">
      <c r="A13" s="17"/>
      <c r="B13" s="18"/>
      <c r="C13" s="19"/>
      <c r="D13" s="20"/>
      <c r="E13" s="55"/>
      <c r="F13" s="56"/>
      <c r="G13" s="56"/>
      <c r="H13" s="56"/>
      <c r="I13" s="57"/>
    </row>
  </sheetData>
  <mergeCells count="7">
    <mergeCell ref="B11:D11"/>
    <mergeCell ref="E11:I13"/>
    <mergeCell ref="A1:I2"/>
    <mergeCell ref="B5:D5"/>
    <mergeCell ref="E5:I7"/>
    <mergeCell ref="B8:D8"/>
    <mergeCell ref="E8:I1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40"/>
  <sheetViews>
    <sheetView showGridLines="0" showRowColHeaders="0" workbookViewId="0">
      <selection sqref="A1:I2"/>
    </sheetView>
  </sheetViews>
  <sheetFormatPr defaultRowHeight="15" x14ac:dyDescent="0.25"/>
  <cols>
    <col min="1" max="16384" width="9.140625" style="1"/>
  </cols>
  <sheetData>
    <row r="1" spans="1:9" x14ac:dyDescent="0.25">
      <c r="A1" s="38" t="s">
        <v>37</v>
      </c>
      <c r="B1" s="38"/>
      <c r="C1" s="38"/>
      <c r="D1" s="38"/>
      <c r="E1" s="38"/>
      <c r="F1" s="38"/>
      <c r="G1" s="38"/>
      <c r="H1" s="38"/>
      <c r="I1" s="38"/>
    </row>
    <row r="2" spans="1:9" ht="27.75" customHeight="1" x14ac:dyDescent="0.25">
      <c r="A2" s="38"/>
      <c r="B2" s="38"/>
      <c r="C2" s="38"/>
      <c r="D2" s="38"/>
      <c r="E2" s="38"/>
      <c r="F2" s="38"/>
      <c r="G2" s="38"/>
      <c r="H2" s="38"/>
      <c r="I2" s="38"/>
    </row>
    <row r="7" spans="1:9" ht="23.25" x14ac:dyDescent="0.35">
      <c r="I7" s="5" t="s">
        <v>35</v>
      </c>
    </row>
    <row r="9" spans="1:9" ht="15" customHeight="1" x14ac:dyDescent="0.25">
      <c r="A9" s="37" t="s">
        <v>36</v>
      </c>
      <c r="B9" s="37"/>
      <c r="C9" s="37"/>
      <c r="D9" s="37"/>
      <c r="E9" s="37"/>
      <c r="F9" s="37"/>
      <c r="G9" s="37"/>
      <c r="H9" s="37"/>
      <c r="I9" s="37"/>
    </row>
    <row r="10" spans="1:9" x14ac:dyDescent="0.25">
      <c r="A10" s="37"/>
      <c r="B10" s="37"/>
      <c r="C10" s="37"/>
      <c r="D10" s="37"/>
      <c r="E10" s="37"/>
      <c r="F10" s="37"/>
      <c r="G10" s="37"/>
      <c r="H10" s="37"/>
      <c r="I10" s="37"/>
    </row>
    <row r="11" spans="1:9" x14ac:dyDescent="0.25">
      <c r="A11" s="37"/>
      <c r="B11" s="37"/>
      <c r="C11" s="37"/>
      <c r="D11" s="37"/>
      <c r="E11" s="37"/>
      <c r="F11" s="37"/>
      <c r="G11" s="37"/>
      <c r="H11" s="37"/>
      <c r="I11" s="37"/>
    </row>
    <row r="12" spans="1:9" x14ac:dyDescent="0.25">
      <c r="A12" s="37"/>
      <c r="B12" s="37"/>
      <c r="C12" s="37"/>
      <c r="D12" s="37"/>
      <c r="E12" s="37"/>
      <c r="F12" s="37"/>
      <c r="G12" s="37"/>
      <c r="H12" s="37"/>
      <c r="I12" s="37"/>
    </row>
    <row r="13" spans="1:9" x14ac:dyDescent="0.25">
      <c r="A13" s="37"/>
      <c r="B13" s="37"/>
      <c r="C13" s="37"/>
      <c r="D13" s="37"/>
      <c r="E13" s="37"/>
      <c r="F13" s="37"/>
      <c r="G13" s="37"/>
      <c r="H13" s="37"/>
      <c r="I13" s="37"/>
    </row>
    <row r="14" spans="1:9" x14ac:dyDescent="0.25">
      <c r="A14" s="37"/>
      <c r="B14" s="37"/>
      <c r="C14" s="37"/>
      <c r="D14" s="37"/>
      <c r="E14" s="37"/>
      <c r="F14" s="37"/>
      <c r="G14" s="37"/>
      <c r="H14" s="37"/>
      <c r="I14" s="37"/>
    </row>
    <row r="15" spans="1:9" x14ac:dyDescent="0.25">
      <c r="B15" s="7" t="s">
        <v>38</v>
      </c>
    </row>
    <row r="17" spans="1:9" ht="23.25" x14ac:dyDescent="0.35">
      <c r="I17" s="5" t="s">
        <v>39</v>
      </c>
    </row>
    <row r="19" spans="1:9" x14ac:dyDescent="0.25">
      <c r="A19" s="37" t="s">
        <v>41</v>
      </c>
      <c r="B19" s="37"/>
      <c r="C19" s="37"/>
      <c r="D19" s="37"/>
      <c r="E19" s="37"/>
      <c r="F19" s="37"/>
      <c r="G19" s="37"/>
      <c r="H19" s="37"/>
      <c r="I19" s="37"/>
    </row>
    <row r="20" spans="1:9" x14ac:dyDescent="0.25">
      <c r="A20" s="37"/>
      <c r="B20" s="37"/>
      <c r="C20" s="37"/>
      <c r="D20" s="37"/>
      <c r="E20" s="37"/>
      <c r="F20" s="37"/>
      <c r="G20" s="37"/>
      <c r="H20" s="37"/>
      <c r="I20" s="37"/>
    </row>
    <row r="21" spans="1:9" x14ac:dyDescent="0.25">
      <c r="A21" s="37"/>
      <c r="B21" s="37"/>
      <c r="C21" s="37"/>
      <c r="D21" s="37"/>
      <c r="E21" s="37"/>
      <c r="F21" s="37"/>
      <c r="G21" s="37"/>
      <c r="H21" s="37"/>
      <c r="I21" s="37"/>
    </row>
    <row r="22" spans="1:9" x14ac:dyDescent="0.25">
      <c r="A22" s="37"/>
      <c r="B22" s="37"/>
      <c r="C22" s="37"/>
      <c r="D22" s="37"/>
      <c r="E22" s="37"/>
      <c r="F22" s="37"/>
      <c r="G22" s="37"/>
      <c r="H22" s="37"/>
      <c r="I22" s="37"/>
    </row>
    <row r="23" spans="1:9" x14ac:dyDescent="0.25">
      <c r="A23" s="37"/>
      <c r="B23" s="37"/>
      <c r="C23" s="37"/>
      <c r="D23" s="37"/>
      <c r="E23" s="37"/>
      <c r="F23" s="37"/>
      <c r="G23" s="37"/>
      <c r="H23" s="37"/>
      <c r="I23" s="37"/>
    </row>
    <row r="24" spans="1:9" x14ac:dyDescent="0.25">
      <c r="A24" s="37"/>
      <c r="B24" s="37"/>
      <c r="C24" s="37"/>
      <c r="D24" s="37"/>
      <c r="E24" s="37"/>
      <c r="F24" s="37"/>
      <c r="G24" s="37"/>
      <c r="H24" s="37"/>
      <c r="I24" s="37"/>
    </row>
    <row r="26" spans="1:9" ht="23.25" x14ac:dyDescent="0.35">
      <c r="I26" s="5" t="s">
        <v>40</v>
      </c>
    </row>
    <row r="28" spans="1:9" x14ac:dyDescent="0.25">
      <c r="A28" s="37" t="s">
        <v>42</v>
      </c>
      <c r="B28" s="37"/>
      <c r="C28" s="37"/>
      <c r="D28" s="37"/>
      <c r="E28" s="37"/>
      <c r="F28" s="37"/>
      <c r="G28" s="37"/>
      <c r="H28" s="37"/>
      <c r="I28" s="37"/>
    </row>
    <row r="29" spans="1:9" x14ac:dyDescent="0.25">
      <c r="A29" s="37"/>
      <c r="B29" s="37"/>
      <c r="C29" s="37"/>
      <c r="D29" s="37"/>
      <c r="E29" s="37"/>
      <c r="F29" s="37"/>
      <c r="G29" s="37"/>
      <c r="H29" s="37"/>
      <c r="I29" s="37"/>
    </row>
    <row r="30" spans="1:9" x14ac:dyDescent="0.25">
      <c r="A30" s="37"/>
      <c r="B30" s="37"/>
      <c r="C30" s="37"/>
      <c r="D30" s="37"/>
      <c r="E30" s="37"/>
      <c r="F30" s="37"/>
      <c r="G30" s="37"/>
      <c r="H30" s="37"/>
      <c r="I30" s="37"/>
    </row>
    <row r="31" spans="1:9" x14ac:dyDescent="0.25">
      <c r="A31" s="37"/>
      <c r="B31" s="37"/>
      <c r="C31" s="37"/>
      <c r="D31" s="37"/>
      <c r="E31" s="37"/>
      <c r="F31" s="37"/>
      <c r="G31" s="37"/>
      <c r="H31" s="37"/>
      <c r="I31" s="37"/>
    </row>
    <row r="32" spans="1:9" x14ac:dyDescent="0.25">
      <c r="A32" s="37"/>
      <c r="B32" s="37"/>
      <c r="C32" s="37"/>
      <c r="D32" s="37"/>
      <c r="E32" s="37"/>
      <c r="F32" s="37"/>
      <c r="G32" s="37"/>
      <c r="H32" s="37"/>
      <c r="I32" s="37"/>
    </row>
    <row r="33" spans="1:9" x14ac:dyDescent="0.25">
      <c r="B33" s="7" t="s">
        <v>43</v>
      </c>
    </row>
    <row r="36" spans="1:9" ht="15" customHeight="1" x14ac:dyDescent="0.25">
      <c r="A36" s="79" t="s">
        <v>44</v>
      </c>
      <c r="B36" s="79"/>
      <c r="C36" s="79"/>
      <c r="D36" s="79"/>
      <c r="E36" s="79"/>
      <c r="F36" s="79"/>
      <c r="G36" s="79"/>
      <c r="H36" s="79"/>
      <c r="I36" s="79"/>
    </row>
    <row r="37" spans="1:9" x14ac:dyDescent="0.25">
      <c r="A37" s="6"/>
      <c r="B37" s="7" t="s">
        <v>45</v>
      </c>
      <c r="C37" s="6"/>
      <c r="D37" s="6"/>
      <c r="E37" s="6"/>
      <c r="F37" s="6"/>
      <c r="G37" s="6"/>
      <c r="H37" s="6"/>
      <c r="I37" s="6"/>
    </row>
    <row r="38" spans="1:9" x14ac:dyDescent="0.25">
      <c r="A38" s="6"/>
      <c r="B38" s="7"/>
      <c r="C38" s="6"/>
      <c r="D38" s="6"/>
      <c r="E38" s="6"/>
      <c r="F38" s="6"/>
      <c r="G38" s="6"/>
      <c r="H38" s="6"/>
      <c r="I38" s="6"/>
    </row>
    <row r="39" spans="1:9" x14ac:dyDescent="0.25">
      <c r="A39" s="79"/>
      <c r="B39" s="79"/>
      <c r="C39" s="79"/>
      <c r="D39" s="79"/>
      <c r="E39" s="79"/>
      <c r="F39" s="79"/>
      <c r="G39" s="79"/>
      <c r="H39" s="79"/>
      <c r="I39" s="79"/>
    </row>
    <row r="40" spans="1:9" x14ac:dyDescent="0.25">
      <c r="A40" s="6"/>
      <c r="B40" s="7"/>
      <c r="C40" s="6"/>
      <c r="D40" s="6"/>
      <c r="E40" s="6"/>
      <c r="F40" s="6"/>
      <c r="G40" s="6"/>
      <c r="H40" s="6"/>
      <c r="I40" s="6"/>
    </row>
  </sheetData>
  <mergeCells count="6">
    <mergeCell ref="A36:I36"/>
    <mergeCell ref="A39:I39"/>
    <mergeCell ref="A1:I2"/>
    <mergeCell ref="A9:I14"/>
    <mergeCell ref="A19:I24"/>
    <mergeCell ref="A28:I32"/>
  </mergeCells>
  <hyperlinks>
    <hyperlink ref="B15" r:id="rId1"/>
    <hyperlink ref="B33" r:id="rId2"/>
    <hyperlink ref="B37" r:id="rId3"/>
  </hyperlinks>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un"/>
  <dimension ref="A1:A2"/>
  <sheetViews>
    <sheetView zoomScale="145" zoomScaleNormal="145" workbookViewId="0">
      <selection activeCell="A2" sqref="A2"/>
    </sheetView>
  </sheetViews>
  <sheetFormatPr defaultRowHeight="15" x14ac:dyDescent="0.25"/>
  <cols>
    <col min="1" max="1" width="10.85546875" customWidth="1"/>
  </cols>
  <sheetData>
    <row r="1" spans="1:1" x14ac:dyDescent="0.25">
      <c r="A1">
        <v>1</v>
      </c>
    </row>
    <row r="2" spans="1:1" x14ac:dyDescent="0.25">
      <c r="A2" s="3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Index</vt:lpstr>
      <vt:lpstr>Help</vt:lpstr>
      <vt:lpstr>AHB</vt:lpstr>
      <vt:lpstr>TBH</vt:lpstr>
      <vt:lpstr>JCalc</vt:lpstr>
      <vt:lpstr>Convert</vt:lpstr>
      <vt:lpstr>Tip</vt:lpstr>
      <vt:lpstr>Support</vt:lpstr>
    </vt:vector>
  </TitlesOfParts>
  <Company>ITM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توابع زبان فارسی فرساران در اکسل</dc:title>
  <dc:subject>محاسبات تاریخ شمسی و تبدیل عدد به حروف اکسل</dc:subject>
  <dc:creator>www.farsaran.com; Farshid meidani</dc:creator>
  <cp:keywords>اکسل; تاریخ; تاریخ شمسی; عدد به حروف</cp:keywords>
  <dc:description>فایل نمونه تاریخ شمسی و تبدیل عدد به حروف فرساران</dc:description>
  <cp:lastModifiedBy>farsaran.com</cp:lastModifiedBy>
  <dcterms:created xsi:type="dcterms:W3CDTF">2010-12-01T10:28:44Z</dcterms:created>
  <dcterms:modified xsi:type="dcterms:W3CDTF">2013-02-05T04:46:29Z</dcterms:modified>
  <cp:contentStatus>نسخه شماره چهار</cp:contentStatus>
</cp:coreProperties>
</file>